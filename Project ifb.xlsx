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har\Downloads\"/>
    </mc:Choice>
  </mc:AlternateContent>
  <bookViews>
    <workbookView xWindow="0" yWindow="0" windowWidth="16380" windowHeight="8196" tabRatio="500" activeTab="2"/>
  </bookViews>
  <sheets>
    <sheet name="Cover" sheetId="1" r:id="rId1"/>
    <sheet name="Assumptions" sheetId="2" r:id="rId2"/>
    <sheet name="P&amp;L" sheetId="3" r:id="rId3"/>
    <sheet name="BalanceSheet" sheetId="4" r:id="rId4"/>
    <sheet name="CashFlow" sheetId="5" r:id="rId5"/>
    <sheet name="DCF" sheetId="6" r:id="rId6"/>
    <sheet name="Comps" sheetId="7" r:id="rId7"/>
    <sheet name="Ratios" sheetId="8" r:id="rId8"/>
    <sheet name="Segments" sheetId="9" r:id="rId9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" i="9" l="1"/>
  <c r="I20" i="9"/>
  <c r="H20" i="9"/>
  <c r="G20" i="9"/>
  <c r="F20" i="9"/>
  <c r="E20" i="9"/>
  <c r="D20" i="9"/>
  <c r="J19" i="9"/>
  <c r="I19" i="9"/>
  <c r="H19" i="9"/>
  <c r="G19" i="9"/>
  <c r="F19" i="9"/>
  <c r="E19" i="9"/>
  <c r="D19" i="9"/>
  <c r="C19" i="9"/>
  <c r="J16" i="9"/>
  <c r="I16" i="9"/>
  <c r="H16" i="9"/>
  <c r="G16" i="9"/>
  <c r="F16" i="9"/>
  <c r="E16" i="9"/>
  <c r="D16" i="9"/>
  <c r="C16" i="9"/>
  <c r="J15" i="9"/>
  <c r="I15" i="9"/>
  <c r="H15" i="9"/>
  <c r="G15" i="9"/>
  <c r="F15" i="9"/>
  <c r="E15" i="9"/>
  <c r="D15" i="9"/>
  <c r="C15" i="9"/>
  <c r="J14" i="9"/>
  <c r="I14" i="9"/>
  <c r="H14" i="9"/>
  <c r="G14" i="9"/>
  <c r="F14" i="9"/>
  <c r="E14" i="9"/>
  <c r="D14" i="9"/>
  <c r="C14" i="9"/>
  <c r="J13" i="9"/>
  <c r="I13" i="9"/>
  <c r="H13" i="9"/>
  <c r="G13" i="9"/>
  <c r="F13" i="9"/>
  <c r="E13" i="9"/>
  <c r="D13" i="9"/>
  <c r="C13" i="9"/>
  <c r="J12" i="9"/>
  <c r="I12" i="9"/>
  <c r="H12" i="9"/>
  <c r="G12" i="9"/>
  <c r="F12" i="9"/>
  <c r="E12" i="9"/>
  <c r="D12" i="9"/>
  <c r="C12" i="9"/>
  <c r="J7" i="9"/>
  <c r="I7" i="9"/>
  <c r="H7" i="9"/>
  <c r="G7" i="9"/>
  <c r="F7" i="9"/>
  <c r="E7" i="9"/>
  <c r="D7" i="9"/>
  <c r="J6" i="9"/>
  <c r="I6" i="9"/>
  <c r="H6" i="9"/>
  <c r="G6" i="9"/>
  <c r="F6" i="9"/>
  <c r="E6" i="9"/>
  <c r="D6" i="9"/>
  <c r="C6" i="9"/>
  <c r="J23" i="8"/>
  <c r="I23" i="8"/>
  <c r="H23" i="8"/>
  <c r="G23" i="8"/>
  <c r="F23" i="8"/>
  <c r="E23" i="8"/>
  <c r="D23" i="8"/>
  <c r="C23" i="8"/>
  <c r="J22" i="8"/>
  <c r="I22" i="8"/>
  <c r="H22" i="8"/>
  <c r="G22" i="8"/>
  <c r="F22" i="8"/>
  <c r="E22" i="8"/>
  <c r="D22" i="8"/>
  <c r="C22" i="8"/>
  <c r="J21" i="8"/>
  <c r="I21" i="8"/>
  <c r="H21" i="8"/>
  <c r="G21" i="8"/>
  <c r="F21" i="8"/>
  <c r="E21" i="8"/>
  <c r="D21" i="8"/>
  <c r="C21" i="8"/>
  <c r="J20" i="8"/>
  <c r="I20" i="8"/>
  <c r="H20" i="8"/>
  <c r="G20" i="8"/>
  <c r="F20" i="8"/>
  <c r="E20" i="8"/>
  <c r="D20" i="8"/>
  <c r="C20" i="8"/>
  <c r="C14" i="7"/>
  <c r="K14" i="7" s="1"/>
  <c r="L13" i="7"/>
  <c r="H13" i="7"/>
  <c r="G13" i="7"/>
  <c r="F13" i="7"/>
  <c r="E13" i="7"/>
  <c r="D13" i="7"/>
  <c r="C13" i="7"/>
  <c r="C30" i="6"/>
  <c r="C24" i="6"/>
  <c r="E18" i="6"/>
  <c r="F18" i="6" s="1"/>
  <c r="G18" i="6" s="1"/>
  <c r="D18" i="6"/>
  <c r="C18" i="6"/>
  <c r="F17" i="6"/>
  <c r="G17" i="6" s="1"/>
  <c r="E17" i="6"/>
  <c r="D17" i="6"/>
  <c r="C17" i="6"/>
  <c r="C9" i="6"/>
  <c r="C8" i="6"/>
  <c r="C7" i="6"/>
  <c r="C6" i="6"/>
  <c r="C5" i="6"/>
  <c r="C22" i="5"/>
  <c r="J17" i="5"/>
  <c r="I17" i="5"/>
  <c r="J15" i="5"/>
  <c r="I15" i="5"/>
  <c r="H15" i="5"/>
  <c r="H17" i="5" s="1"/>
  <c r="G15" i="5"/>
  <c r="G17" i="5" s="1"/>
  <c r="F15" i="5"/>
  <c r="F17" i="5" s="1"/>
  <c r="E15" i="5"/>
  <c r="E17" i="5" s="1"/>
  <c r="D15" i="5"/>
  <c r="D17" i="5" s="1"/>
  <c r="C15" i="5"/>
  <c r="C17" i="5" s="1"/>
  <c r="J11" i="5"/>
  <c r="I11" i="5"/>
  <c r="H11" i="5"/>
  <c r="G11" i="5"/>
  <c r="F11" i="5"/>
  <c r="E11" i="5"/>
  <c r="D11" i="5"/>
  <c r="C11" i="5"/>
  <c r="J8" i="5"/>
  <c r="I8" i="5"/>
  <c r="H8" i="5"/>
  <c r="G8" i="5"/>
  <c r="F8" i="5"/>
  <c r="E8" i="5"/>
  <c r="D8" i="5"/>
  <c r="C8" i="5"/>
  <c r="J7" i="5"/>
  <c r="I7" i="5"/>
  <c r="H7" i="5"/>
  <c r="G7" i="5"/>
  <c r="F7" i="5"/>
  <c r="E7" i="5"/>
  <c r="D7" i="5"/>
  <c r="C7" i="5"/>
  <c r="J27" i="4"/>
  <c r="I27" i="4"/>
  <c r="H27" i="4"/>
  <c r="G27" i="4"/>
  <c r="F27" i="4"/>
  <c r="E27" i="4"/>
  <c r="D27" i="4"/>
  <c r="C27" i="4"/>
  <c r="J26" i="4"/>
  <c r="I26" i="4"/>
  <c r="H26" i="4"/>
  <c r="G26" i="4"/>
  <c r="F26" i="4"/>
  <c r="E26" i="4"/>
  <c r="D26" i="4"/>
  <c r="C26" i="4"/>
  <c r="J25" i="4"/>
  <c r="I25" i="4"/>
  <c r="H25" i="4"/>
  <c r="G25" i="4"/>
  <c r="F25" i="4"/>
  <c r="E25" i="4"/>
  <c r="D25" i="4"/>
  <c r="C25" i="4"/>
  <c r="I24" i="4"/>
  <c r="H24" i="4"/>
  <c r="E24" i="4"/>
  <c r="I22" i="4"/>
  <c r="G22" i="4"/>
  <c r="J20" i="4"/>
  <c r="I20" i="4"/>
  <c r="H20" i="4"/>
  <c r="G20" i="4"/>
  <c r="F20" i="4"/>
  <c r="E20" i="4"/>
  <c r="D20" i="4"/>
  <c r="C20" i="4"/>
  <c r="J19" i="4"/>
  <c r="J22" i="4" s="1"/>
  <c r="I19" i="4"/>
  <c r="H19" i="4"/>
  <c r="H22" i="4" s="1"/>
  <c r="G19" i="4"/>
  <c r="F19" i="4"/>
  <c r="F22" i="4" s="1"/>
  <c r="E19" i="4"/>
  <c r="E22" i="4" s="1"/>
  <c r="D19" i="4"/>
  <c r="D22" i="4" s="1"/>
  <c r="C19" i="4"/>
  <c r="C22" i="4" s="1"/>
  <c r="J14" i="4"/>
  <c r="I14" i="4"/>
  <c r="H14" i="4"/>
  <c r="G14" i="4"/>
  <c r="F14" i="4"/>
  <c r="E14" i="4"/>
  <c r="D14" i="4"/>
  <c r="C14" i="4"/>
  <c r="J12" i="4"/>
  <c r="I12" i="4"/>
  <c r="H12" i="4"/>
  <c r="G12" i="4"/>
  <c r="F12" i="4"/>
  <c r="E12" i="4"/>
  <c r="D12" i="4"/>
  <c r="C12" i="4"/>
  <c r="J11" i="4"/>
  <c r="G11" i="4"/>
  <c r="J10" i="4"/>
  <c r="I10" i="4"/>
  <c r="H10" i="4"/>
  <c r="G10" i="4"/>
  <c r="F10" i="4"/>
  <c r="E10" i="4"/>
  <c r="D10" i="4"/>
  <c r="C10" i="4"/>
  <c r="J9" i="4"/>
  <c r="I9" i="4"/>
  <c r="H9" i="4"/>
  <c r="H11" i="4" s="1"/>
  <c r="G9" i="4"/>
  <c r="G20" i="5" s="1"/>
  <c r="G22" i="5" s="1"/>
  <c r="F9" i="4"/>
  <c r="F16" i="8" s="1"/>
  <c r="E9" i="4"/>
  <c r="D9" i="4"/>
  <c r="D20" i="5" s="1"/>
  <c r="D22" i="5" s="1"/>
  <c r="C9" i="4"/>
  <c r="J8" i="4"/>
  <c r="J28" i="8" s="1"/>
  <c r="I8" i="4"/>
  <c r="I28" i="8" s="1"/>
  <c r="G8" i="4"/>
  <c r="G28" i="8" s="1"/>
  <c r="J7" i="4"/>
  <c r="I7" i="4"/>
  <c r="H7" i="4"/>
  <c r="G7" i="4"/>
  <c r="F7" i="4"/>
  <c r="E7" i="4"/>
  <c r="D7" i="4"/>
  <c r="C7" i="4"/>
  <c r="J6" i="4"/>
  <c r="I6" i="4"/>
  <c r="H6" i="4"/>
  <c r="H8" i="4" s="1"/>
  <c r="G6" i="4"/>
  <c r="F6" i="4"/>
  <c r="F8" i="4" s="1"/>
  <c r="E6" i="4"/>
  <c r="E8" i="4" s="1"/>
  <c r="D6" i="4"/>
  <c r="D8" i="4" s="1"/>
  <c r="C6" i="4"/>
  <c r="C8" i="4" s="1"/>
  <c r="J22" i="3"/>
  <c r="I22" i="3"/>
  <c r="H22" i="3"/>
  <c r="G22" i="3"/>
  <c r="F22" i="3"/>
  <c r="E22" i="3"/>
  <c r="D22" i="3"/>
  <c r="C22" i="3"/>
  <c r="J21" i="3"/>
  <c r="I21" i="3"/>
  <c r="H21" i="3"/>
  <c r="G21" i="3"/>
  <c r="F21" i="3"/>
  <c r="E21" i="3"/>
  <c r="D21" i="3"/>
  <c r="C21" i="3"/>
  <c r="J18" i="3"/>
  <c r="I18" i="3"/>
  <c r="H18" i="3"/>
  <c r="G18" i="3"/>
  <c r="F18" i="3"/>
  <c r="E18" i="3"/>
  <c r="D18" i="3"/>
  <c r="C18" i="3"/>
  <c r="E14" i="3"/>
  <c r="E16" i="3" s="1"/>
  <c r="E13" i="3"/>
  <c r="D13" i="3"/>
  <c r="E12" i="3"/>
  <c r="D12" i="3"/>
  <c r="C12" i="3"/>
  <c r="E11" i="3"/>
  <c r="E23" i="4" s="1"/>
  <c r="E28" i="4" s="1"/>
  <c r="D11" i="3"/>
  <c r="D14" i="3" s="1"/>
  <c r="C11" i="3"/>
  <c r="J9" i="3"/>
  <c r="D9" i="3"/>
  <c r="I8" i="3"/>
  <c r="H8" i="3"/>
  <c r="J7" i="3"/>
  <c r="I7" i="3"/>
  <c r="H7" i="3"/>
  <c r="G7" i="3"/>
  <c r="F7" i="3"/>
  <c r="E7" i="3"/>
  <c r="D7" i="3"/>
  <c r="C7" i="3"/>
  <c r="J6" i="3"/>
  <c r="J12" i="3" s="1"/>
  <c r="I6" i="3"/>
  <c r="H6" i="3"/>
  <c r="G6" i="3"/>
  <c r="G13" i="3" s="1"/>
  <c r="F6" i="3"/>
  <c r="F8" i="3" s="1"/>
  <c r="E6" i="3"/>
  <c r="D6" i="3"/>
  <c r="E9" i="3" s="1"/>
  <c r="C6" i="3"/>
  <c r="D28" i="8" l="1"/>
  <c r="E28" i="8"/>
  <c r="E29" i="8"/>
  <c r="E7" i="8"/>
  <c r="E17" i="3"/>
  <c r="E19" i="3"/>
  <c r="H28" i="8"/>
  <c r="E29" i="4"/>
  <c r="C28" i="8"/>
  <c r="H6" i="8"/>
  <c r="H8" i="9"/>
  <c r="H26" i="9"/>
  <c r="H21" i="9"/>
  <c r="I8" i="9"/>
  <c r="I26" i="9"/>
  <c r="I21" i="9"/>
  <c r="J8" i="3"/>
  <c r="C16" i="8"/>
  <c r="C11" i="4"/>
  <c r="C16" i="4" s="1"/>
  <c r="D13" i="4"/>
  <c r="D15" i="4" s="1"/>
  <c r="J24" i="4"/>
  <c r="G8" i="9"/>
  <c r="G26" i="9"/>
  <c r="G21" i="9"/>
  <c r="D14" i="7"/>
  <c r="I16" i="8"/>
  <c r="C13" i="4"/>
  <c r="C15" i="4" s="1"/>
  <c r="D16" i="8"/>
  <c r="C6" i="8"/>
  <c r="C8" i="9"/>
  <c r="C26" i="9"/>
  <c r="C21" i="9"/>
  <c r="C8" i="3"/>
  <c r="G11" i="3"/>
  <c r="H12" i="3"/>
  <c r="I13" i="3"/>
  <c r="E16" i="8"/>
  <c r="E11" i="4"/>
  <c r="C24" i="4"/>
  <c r="F20" i="5"/>
  <c r="F22" i="5" s="1"/>
  <c r="E24" i="6"/>
  <c r="D24" i="6"/>
  <c r="F24" i="6"/>
  <c r="H13" i="3"/>
  <c r="D6" i="8"/>
  <c r="D8" i="9"/>
  <c r="D26" i="9"/>
  <c r="D21" i="9"/>
  <c r="D8" i="3"/>
  <c r="G9" i="3"/>
  <c r="H11" i="3"/>
  <c r="I12" i="3"/>
  <c r="J13" i="3"/>
  <c r="C23" i="4"/>
  <c r="C28" i="4" s="1"/>
  <c r="C15" i="8" s="1"/>
  <c r="D24" i="4"/>
  <c r="G24" i="6"/>
  <c r="E13" i="4"/>
  <c r="E15" i="4" s="1"/>
  <c r="E20" i="5"/>
  <c r="E22" i="5" s="1"/>
  <c r="E6" i="8"/>
  <c r="H9" i="3"/>
  <c r="I11" i="3"/>
  <c r="D16" i="3"/>
  <c r="F28" i="8"/>
  <c r="G16" i="8"/>
  <c r="D23" i="4"/>
  <c r="I20" i="5"/>
  <c r="I22" i="5" s="1"/>
  <c r="J16" i="8"/>
  <c r="J26" i="9"/>
  <c r="J21" i="9"/>
  <c r="J8" i="9"/>
  <c r="G12" i="3"/>
  <c r="D11" i="4"/>
  <c r="D16" i="4" s="1"/>
  <c r="F8" i="9"/>
  <c r="F26" i="9"/>
  <c r="F21" i="9"/>
  <c r="F24" i="4"/>
  <c r="F13" i="3"/>
  <c r="F12" i="3"/>
  <c r="F11" i="3"/>
  <c r="F6" i="8" s="1"/>
  <c r="F9" i="3"/>
  <c r="G8" i="3"/>
  <c r="I9" i="3"/>
  <c r="J11" i="3"/>
  <c r="C13" i="3"/>
  <c r="C14" i="3" s="1"/>
  <c r="C16" i="3" s="1"/>
  <c r="H16" i="8"/>
  <c r="H20" i="5"/>
  <c r="H22" i="5" s="1"/>
  <c r="I11" i="4"/>
  <c r="G24" i="4"/>
  <c r="J20" i="5"/>
  <c r="J22" i="5" s="1"/>
  <c r="E21" i="9"/>
  <c r="E26" i="9"/>
  <c r="E8" i="3"/>
  <c r="F11" i="4"/>
  <c r="E8" i="9"/>
  <c r="C7" i="8" l="1"/>
  <c r="C29" i="8"/>
  <c r="C19" i="3"/>
  <c r="C17" i="3"/>
  <c r="F16" i="4"/>
  <c r="E15" i="8"/>
  <c r="E16" i="4"/>
  <c r="I13" i="4"/>
  <c r="I15" i="4" s="1"/>
  <c r="I16" i="4" s="1"/>
  <c r="I14" i="3"/>
  <c r="I16" i="3" s="1"/>
  <c r="I23" i="4"/>
  <c r="I28" i="4" s="1"/>
  <c r="E9" i="5"/>
  <c r="G14" i="3"/>
  <c r="G16" i="3" s="1"/>
  <c r="G13" i="4"/>
  <c r="G15" i="4" s="1"/>
  <c r="G16" i="4" s="1"/>
  <c r="G23" i="4"/>
  <c r="G28" i="4" s="1"/>
  <c r="D28" i="4"/>
  <c r="D9" i="5"/>
  <c r="C29" i="4"/>
  <c r="C30" i="4" s="1"/>
  <c r="J13" i="4"/>
  <c r="J15" i="4" s="1"/>
  <c r="J16" i="4" s="1"/>
  <c r="J14" i="3"/>
  <c r="J16" i="3" s="1"/>
  <c r="J23" i="4"/>
  <c r="J28" i="4" s="1"/>
  <c r="J6" i="8"/>
  <c r="E30" i="4"/>
  <c r="H23" i="4"/>
  <c r="H13" i="4"/>
  <c r="H15" i="4" s="1"/>
  <c r="H16" i="4" s="1"/>
  <c r="H14" i="3"/>
  <c r="H16" i="3" s="1"/>
  <c r="I6" i="8"/>
  <c r="E17" i="8"/>
  <c r="E12" i="8"/>
  <c r="E8" i="8"/>
  <c r="E9" i="9"/>
  <c r="E10" i="9" s="1"/>
  <c r="E28" i="9"/>
  <c r="E27" i="9"/>
  <c r="E22" i="9"/>
  <c r="E23" i="9" s="1"/>
  <c r="E23" i="3"/>
  <c r="E20" i="3"/>
  <c r="F23" i="4"/>
  <c r="F28" i="4" s="1"/>
  <c r="F13" i="4"/>
  <c r="F15" i="4" s="1"/>
  <c r="F14" i="3"/>
  <c r="F16" i="3" s="1"/>
  <c r="D29" i="8"/>
  <c r="D7" i="8"/>
  <c r="D17" i="3"/>
  <c r="D19" i="3"/>
  <c r="G6" i="8"/>
  <c r="J15" i="8" l="1"/>
  <c r="J29" i="4"/>
  <c r="J30" i="4" s="1"/>
  <c r="H29" i="8"/>
  <c r="H7" i="8"/>
  <c r="H19" i="3"/>
  <c r="H17" i="3"/>
  <c r="E9" i="8"/>
  <c r="E26" i="3"/>
  <c r="E24" i="3"/>
  <c r="E25" i="3"/>
  <c r="E10" i="5" s="1"/>
  <c r="I15" i="8"/>
  <c r="I29" i="4"/>
  <c r="I30" i="4" s="1"/>
  <c r="C12" i="8"/>
  <c r="C8" i="8"/>
  <c r="C17" i="8"/>
  <c r="C9" i="9"/>
  <c r="C10" i="9" s="1"/>
  <c r="C28" i="9"/>
  <c r="C27" i="9"/>
  <c r="C22" i="9"/>
  <c r="C23" i="9" s="1"/>
  <c r="C23" i="3"/>
  <c r="C20" i="3"/>
  <c r="D17" i="8"/>
  <c r="D12" i="8"/>
  <c r="D8" i="8"/>
  <c r="D9" i="9"/>
  <c r="D10" i="9" s="1"/>
  <c r="D28" i="9"/>
  <c r="D27" i="9"/>
  <c r="D22" i="9"/>
  <c r="D23" i="9" s="1"/>
  <c r="D20" i="3"/>
  <c r="D23" i="3"/>
  <c r="H28" i="4"/>
  <c r="I9" i="5"/>
  <c r="J29" i="8"/>
  <c r="J7" i="8"/>
  <c r="J19" i="3"/>
  <c r="J17" i="3"/>
  <c r="I29" i="8"/>
  <c r="I7" i="8"/>
  <c r="I19" i="3"/>
  <c r="I17" i="3"/>
  <c r="F29" i="8"/>
  <c r="F7" i="8"/>
  <c r="F19" i="3"/>
  <c r="F17" i="3"/>
  <c r="D15" i="8"/>
  <c r="D29" i="4"/>
  <c r="D30" i="4" s="1"/>
  <c r="H9" i="5"/>
  <c r="G29" i="8"/>
  <c r="G7" i="8"/>
  <c r="E14" i="7"/>
  <c r="I14" i="7" s="1"/>
  <c r="C17" i="7"/>
  <c r="D17" i="7" s="1"/>
  <c r="G17" i="3"/>
  <c r="F14" i="7" s="1"/>
  <c r="G19" i="3"/>
  <c r="F15" i="8"/>
  <c r="F29" i="4"/>
  <c r="F30" i="4" s="1"/>
  <c r="F9" i="5"/>
  <c r="G15" i="8"/>
  <c r="G29" i="4"/>
  <c r="G30" i="4" s="1"/>
  <c r="G9" i="5"/>
  <c r="J9" i="5"/>
  <c r="D9" i="8" l="1"/>
  <c r="D24" i="3"/>
  <c r="D25" i="3"/>
  <c r="D10" i="5" s="1"/>
  <c r="G17" i="8"/>
  <c r="G12" i="8"/>
  <c r="G8" i="8"/>
  <c r="G9" i="9"/>
  <c r="G10" i="9" s="1"/>
  <c r="G28" i="9"/>
  <c r="G27" i="9"/>
  <c r="G22" i="9"/>
  <c r="G23" i="9" s="1"/>
  <c r="G20" i="3"/>
  <c r="G23" i="3"/>
  <c r="E11" i="8"/>
  <c r="E10" i="8"/>
  <c r="E27" i="3"/>
  <c r="E29" i="3"/>
  <c r="E6" i="5"/>
  <c r="E12" i="5" s="1"/>
  <c r="F17" i="8"/>
  <c r="F12" i="8"/>
  <c r="F8" i="8"/>
  <c r="F9" i="9"/>
  <c r="F10" i="9" s="1"/>
  <c r="F28" i="9"/>
  <c r="F27" i="9"/>
  <c r="F22" i="9"/>
  <c r="F23" i="9" s="1"/>
  <c r="F23" i="3"/>
  <c r="F20" i="3"/>
  <c r="H17" i="8"/>
  <c r="H12" i="8"/>
  <c r="H8" i="8"/>
  <c r="H9" i="9"/>
  <c r="H10" i="9" s="1"/>
  <c r="H28" i="9"/>
  <c r="H27" i="9"/>
  <c r="H22" i="9"/>
  <c r="H23" i="9" s="1"/>
  <c r="C14" i="6"/>
  <c r="H20" i="3"/>
  <c r="H23" i="3"/>
  <c r="C9" i="8"/>
  <c r="C25" i="3"/>
  <c r="C10" i="5" s="1"/>
  <c r="C24" i="3"/>
  <c r="I9" i="9"/>
  <c r="I10" i="9" s="1"/>
  <c r="I28" i="9"/>
  <c r="I27" i="9"/>
  <c r="I22" i="9"/>
  <c r="I23" i="9" s="1"/>
  <c r="I17" i="8"/>
  <c r="I12" i="8"/>
  <c r="I8" i="8"/>
  <c r="I20" i="3"/>
  <c r="I23" i="3"/>
  <c r="D14" i="6"/>
  <c r="H15" i="8"/>
  <c r="H29" i="4"/>
  <c r="H30" i="4" s="1"/>
  <c r="J28" i="9"/>
  <c r="J27" i="9"/>
  <c r="J22" i="9"/>
  <c r="J23" i="9" s="1"/>
  <c r="J17" i="8"/>
  <c r="J12" i="8"/>
  <c r="J8" i="8"/>
  <c r="J9" i="9"/>
  <c r="J10" i="9" s="1"/>
  <c r="J23" i="3"/>
  <c r="J20" i="3"/>
  <c r="E14" i="6"/>
  <c r="J9" i="8" l="1"/>
  <c r="J24" i="3"/>
  <c r="J25" i="3"/>
  <c r="J10" i="5" s="1"/>
  <c r="J26" i="3"/>
  <c r="G9" i="8"/>
  <c r="G24" i="3"/>
  <c r="G25" i="3"/>
  <c r="G10" i="5" s="1"/>
  <c r="H9" i="8"/>
  <c r="H25" i="3"/>
  <c r="H10" i="5" s="1"/>
  <c r="H24" i="3"/>
  <c r="H26" i="3"/>
  <c r="E25" i="5"/>
  <c r="E26" i="5" s="1"/>
  <c r="E27" i="5"/>
  <c r="D26" i="3"/>
  <c r="I9" i="8"/>
  <c r="I24" i="3"/>
  <c r="I25" i="3"/>
  <c r="I10" i="5" s="1"/>
  <c r="F9" i="8"/>
  <c r="F25" i="3"/>
  <c r="F10" i="5" s="1"/>
  <c r="F24" i="3"/>
  <c r="E15" i="6"/>
  <c r="E16" i="6" s="1"/>
  <c r="E20" i="6" s="1"/>
  <c r="E25" i="6" s="1"/>
  <c r="F14" i="6"/>
  <c r="D15" i="6"/>
  <c r="D16" i="6"/>
  <c r="D20" i="6" s="1"/>
  <c r="D25" i="6" s="1"/>
  <c r="C15" i="6"/>
  <c r="C16" i="6"/>
  <c r="C20" i="6" s="1"/>
  <c r="C26" i="3"/>
  <c r="E27" i="8"/>
  <c r="E26" i="8"/>
  <c r="C10" i="8" l="1"/>
  <c r="C11" i="8"/>
  <c r="C27" i="3"/>
  <c r="C29" i="3"/>
  <c r="C6" i="5"/>
  <c r="C12" i="5" s="1"/>
  <c r="D11" i="8"/>
  <c r="D10" i="8"/>
  <c r="D27" i="3"/>
  <c r="D29" i="3"/>
  <c r="D6" i="5"/>
  <c r="D12" i="5" s="1"/>
  <c r="C25" i="6"/>
  <c r="G26" i="3"/>
  <c r="F26" i="3"/>
  <c r="H11" i="8"/>
  <c r="H10" i="8"/>
  <c r="H29" i="3"/>
  <c r="H6" i="5"/>
  <c r="H12" i="5" s="1"/>
  <c r="H27" i="3"/>
  <c r="J11" i="8"/>
  <c r="J10" i="8"/>
  <c r="J6" i="5"/>
  <c r="J12" i="5" s="1"/>
  <c r="J27" i="3"/>
  <c r="J29" i="3"/>
  <c r="F15" i="6"/>
  <c r="F16" i="6"/>
  <c r="F20" i="6" s="1"/>
  <c r="F25" i="6" s="1"/>
  <c r="G14" i="6"/>
  <c r="I26" i="3"/>
  <c r="C25" i="5" l="1"/>
  <c r="C26" i="5" s="1"/>
  <c r="C27" i="5"/>
  <c r="I11" i="8"/>
  <c r="I10" i="8"/>
  <c r="I6" i="5"/>
  <c r="I12" i="5" s="1"/>
  <c r="I29" i="3"/>
  <c r="I27" i="3"/>
  <c r="C27" i="8"/>
  <c r="C26" i="8"/>
  <c r="G15" i="6"/>
  <c r="G16" i="6" s="1"/>
  <c r="G20" i="6" s="1"/>
  <c r="F11" i="8"/>
  <c r="F10" i="8"/>
  <c r="F6" i="5"/>
  <c r="F12" i="5" s="1"/>
  <c r="F29" i="3"/>
  <c r="F27" i="3"/>
  <c r="H25" i="5"/>
  <c r="H26" i="5" s="1"/>
  <c r="H27" i="5"/>
  <c r="D25" i="5"/>
  <c r="D26" i="5" s="1"/>
  <c r="D27" i="5"/>
  <c r="J27" i="8"/>
  <c r="J26" i="8"/>
  <c r="J25" i="5"/>
  <c r="J26" i="5" s="1"/>
  <c r="J27" i="5"/>
  <c r="G14" i="7"/>
  <c r="G11" i="8"/>
  <c r="G10" i="8"/>
  <c r="C18" i="7"/>
  <c r="D18" i="7" s="1"/>
  <c r="C19" i="7" s="1"/>
  <c r="C20" i="7" s="1"/>
  <c r="G29" i="3"/>
  <c r="G27" i="3"/>
  <c r="H14" i="7" s="1"/>
  <c r="G6" i="5"/>
  <c r="G12" i="5" s="1"/>
  <c r="H27" i="8"/>
  <c r="H26" i="8"/>
  <c r="D27" i="8"/>
  <c r="D26" i="8"/>
  <c r="G25" i="6" l="1"/>
  <c r="C26" i="6" s="1"/>
  <c r="C29" i="6" s="1"/>
  <c r="C31" i="6" s="1"/>
  <c r="C32" i="6" s="1"/>
  <c r="C33" i="6" s="1"/>
  <c r="C27" i="6"/>
  <c r="C28" i="6" s="1"/>
  <c r="C37" i="6"/>
  <c r="G39" i="6"/>
  <c r="F41" i="6"/>
  <c r="C40" i="6"/>
  <c r="G38" i="6"/>
  <c r="F39" i="6"/>
  <c r="F37" i="6"/>
  <c r="D37" i="6"/>
  <c r="F38" i="6"/>
  <c r="G37" i="6"/>
  <c r="F40" i="6"/>
  <c r="D38" i="6"/>
  <c r="E37" i="6"/>
  <c r="C38" i="6"/>
  <c r="C39" i="6"/>
  <c r="D41" i="6"/>
  <c r="G40" i="6"/>
  <c r="D40" i="6"/>
  <c r="G41" i="6"/>
  <c r="E38" i="6"/>
  <c r="E40" i="6"/>
  <c r="C41" i="6"/>
  <c r="E39" i="6"/>
  <c r="D39" i="6"/>
  <c r="E41" i="6"/>
  <c r="F25" i="5"/>
  <c r="F26" i="5" s="1"/>
  <c r="F27" i="5"/>
  <c r="I25" i="5"/>
  <c r="I26" i="5" s="1"/>
  <c r="I27" i="5"/>
  <c r="I27" i="8"/>
  <c r="I26" i="8"/>
  <c r="G27" i="8"/>
  <c r="G26" i="8"/>
  <c r="J14" i="7"/>
  <c r="F27" i="8"/>
  <c r="F26" i="8"/>
  <c r="G25" i="5"/>
  <c r="G26" i="5" s="1"/>
  <c r="G27" i="5"/>
</calcChain>
</file>

<file path=xl/sharedStrings.xml><?xml version="1.0" encoding="utf-8"?>
<sst xmlns="http://schemas.openxmlformats.org/spreadsheetml/2006/main" count="383" uniqueCount="303">
  <si>
    <t>IFB INDUSTRIES LIMITED (NSE: IFBIND)</t>
  </si>
  <si>
    <t>Full-Fledge Formula-Driven Financial Model  |  FY2022A – FY2029E</t>
  </si>
  <si>
    <t>Company</t>
  </si>
  <si>
    <t>IFB Industries Limited</t>
  </si>
  <si>
    <t>Ticker</t>
  </si>
  <si>
    <t>NSE: IFBIND  |  BSE: 505726</t>
  </si>
  <si>
    <t>Sector</t>
  </si>
  <si>
    <t>Consumer Durables / Engineering Components</t>
  </si>
  <si>
    <t>Headquarters</t>
  </si>
  <si>
    <t>Kolkata, West Bengal, India</t>
  </si>
  <si>
    <t>CMP (Jun 2026)</t>
  </si>
  <si>
    <t>₹1,097 per share</t>
  </si>
  <si>
    <t>Market Cap</t>
  </si>
  <si>
    <t>~₹4,455 Crore</t>
  </si>
  <si>
    <t>Shares Outstanding</t>
  </si>
  <si>
    <t>4.07 Crore (40.7 million)</t>
  </si>
  <si>
    <t>Face Value</t>
  </si>
  <si>
    <t>₹10</t>
  </si>
  <si>
    <t>Fiscal Year End</t>
  </si>
  <si>
    <t>31 March</t>
  </si>
  <si>
    <t>Currency / Unit</t>
  </si>
  <si>
    <t>Indian Rupees (₹) in Crores</t>
  </si>
  <si>
    <t>Model Date</t>
  </si>
  <si>
    <t>June 2026</t>
  </si>
  <si>
    <t>Data Sources</t>
  </si>
  <si>
    <t>BSE Filings, Annual Reports, Screener.in</t>
  </si>
  <si>
    <t>MODEL ARCHITECTURE</t>
  </si>
  <si>
    <t>Assumptions</t>
  </si>
  <si>
    <t>SINGLE SOURCE OF TRUTH — all hardcoded inputs live here; everything else is formulas</t>
  </si>
  <si>
    <t>P&amp;L</t>
  </si>
  <si>
    <t>Income statement pulling from Assumptions via cross-sheet formulas</t>
  </si>
  <si>
    <t>BalanceSheet</t>
  </si>
  <si>
    <t>Balance sheet projections linked to P&amp;L &amp; Assumptions</t>
  </si>
  <si>
    <t>CashFlow</t>
  </si>
  <si>
    <t>Operating / Investing / Financing — linked to P&amp;L &amp; BS</t>
  </si>
  <si>
    <t>DCF</t>
  </si>
  <si>
    <t>FCFF-based intrinsic value with sensitivity table</t>
  </si>
  <si>
    <t>Comps</t>
  </si>
  <si>
    <t>Peer multiples comparison + implied valuations</t>
  </si>
  <si>
    <t>Ratios</t>
  </si>
  <si>
    <t>25+ KPIs computed from P&amp;L / BS — all formulas</t>
  </si>
  <si>
    <t>Segments</t>
  </si>
  <si>
    <t>Home Appliances vs Engineering split with product breakdown</t>
  </si>
  <si>
    <t>COLOR CODE:  Blue text = hardcoded inputs  |  Black text = formulas  |  Green text = cross-sheet links  |  Yellow bg = key assumption cells</t>
  </si>
  <si>
    <t>DISCLAIMER: For educational/research purposes only. Not investment advice. Always verify data before use.</t>
  </si>
  <si>
    <t>IFB INDUSTRIES — ASSUMPTIONS  (Single Source of Truth)</t>
  </si>
  <si>
    <t>ALL HARDCODED INPUTS LIVE ON THIS SHEET — other sheets reference these cells via formulas</t>
  </si>
  <si>
    <t>Assumption / Driver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</si>
  <si>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</si>
  <si>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</si>
  <si>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</si>
  <si>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</si>
  <si>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</si>
  <si>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</si>
  <si>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</si>
  <si>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</si>
  <si>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Notes</t>
  </si>
  <si>
    <t>1. REVENUE (₹ Cr) — Standalone</t>
  </si>
  <si>
    <t>Total Revenue</t>
  </si>
  <si>
    <t>FY22-26 = actuals; FY27-29 = analyst estimates</t>
  </si>
  <si>
    <t xml:space="preserve">  Home Appliances Revenue</t>
  </si>
  <si>
    <t>~80% of total; includes WM, AC, Dishwasher, Microwave, Service</t>
  </si>
  <si>
    <t xml:space="preserve">  Engineering Revenue</t>
  </si>
  <si>
    <t>Fine-blanked components for auto &amp; electricals OEMs</t>
  </si>
  <si>
    <t xml:space="preserve">  Other / Adjustments</t>
  </si>
  <si>
    <t>Motor segment &amp; inter-segment adjustments</t>
  </si>
  <si>
    <t>2. MARGIN ASSUMPTIONS</t>
  </si>
  <si>
    <t>Gross Margin %</t>
  </si>
  <si>
    <t>Revenue minus raw materials</t>
  </si>
  <si>
    <t>Employee Cost % of Revenue</t>
  </si>
  <si>
    <t>Other Opex % of Revenue</t>
  </si>
  <si>
    <t>Other Income (₹ Cr)</t>
  </si>
  <si>
    <t>Interest income, forex, misc</t>
  </si>
  <si>
    <t>3. CAPEX, DEPRECIATION &amp; INTEREST (₹ Cr)</t>
  </si>
  <si>
    <t>Depreciation &amp; Amortisation</t>
  </si>
  <si>
    <t>Actuals; projections ~2% of revenue</t>
  </si>
  <si>
    <t>Capital Expenditure</t>
  </si>
  <si>
    <t>Maintenance + growth capex</t>
  </si>
  <si>
    <t>Finance Costs (Interest)</t>
  </si>
  <si>
    <t>Reducing as debt is repaid</t>
  </si>
  <si>
    <t>4. TAX &amp; BOOK ADJUSTMENTS</t>
  </si>
  <si>
    <t>Effective Tax Rate %</t>
  </si>
  <si>
    <t>FY22 neg due to deferred tax reversal; FY23 spike due to loss c/f expiry</t>
  </si>
  <si>
    <t>Exceptional Items (₹ Cr)</t>
  </si>
  <si>
    <t>FY26: Labour code incremental liability (₹13.96 Cr annual)</t>
  </si>
  <si>
    <t>5. WORKING CAPITAL ASSUMPTIONS (Days)</t>
  </si>
  <si>
    <t>Debtor Days</t>
  </si>
  <si>
    <t>Inventory Days</t>
  </si>
  <si>
    <t>Payable Days</t>
  </si>
  <si>
    <t>6. BALANCE SHEET — HISTORICAL ACTUALS (₹ Cr)</t>
  </si>
  <si>
    <t>Equity Capital</t>
  </si>
  <si>
    <t>Reserves &amp; Surplus</t>
  </si>
  <si>
    <t>Prior year + PAT; projected = prev + PAT</t>
  </si>
  <si>
    <t>Long-Term Borrowings</t>
  </si>
  <si>
    <t>Short-Term Borrowings</t>
  </si>
  <si>
    <t>Net Block (Fixed Assets)</t>
  </si>
  <si>
    <t>Prior year + Capex - Dep for projections</t>
  </si>
  <si>
    <t>Investments (NC)</t>
  </si>
  <si>
    <t>Cash &amp; Equivalents</t>
  </si>
  <si>
    <t>Closing cash from cash flow</t>
  </si>
  <si>
    <t>Short-Term Investments</t>
  </si>
  <si>
    <t>Other Current Assets</t>
  </si>
  <si>
    <t>Other Current Liabilities</t>
  </si>
  <si>
    <t>Other Non-Current Liabilities</t>
  </si>
  <si>
    <t>Deferred tax + other NC liabilities</t>
  </si>
  <si>
    <t>7. VALUATION INPUTS</t>
  </si>
  <si>
    <t>WACC %</t>
  </si>
  <si>
    <t>Cost of equity ~13.5%; Kd ~8%; target D/E 0.15x</t>
  </si>
  <si>
    <t>Terminal Growth Rate %</t>
  </si>
  <si>
    <t>Nominal GDP growth proxy; India LT growth ~6-7%</t>
  </si>
  <si>
    <t>Net Debt FY26A (₹ Cr)</t>
  </si>
  <si>
    <t>Shares Outstanding (Cr)</t>
  </si>
  <si>
    <t>Comps EV/EBITDA Multiple (x)</t>
  </si>
  <si>
    <t>Comps P/E Multiple (x)</t>
  </si>
  <si>
    <t>Current Market Price — CMP (₹)</t>
  </si>
  <si>
    <t>Update this to refresh all valuation metrics</t>
  </si>
  <si>
    <t>IFB INDUSTRIES — INCOME STATEMENT (P&amp;L)</t>
  </si>
  <si>
    <t>Standalone Financials  |  ₹ Crores  |  All figures are formulas linked to Assumptions</t>
  </si>
  <si>
    <t>Line Item</t>
  </si>
  <si>
    <t>REVENUE</t>
  </si>
  <si>
    <t>Net Revenue from Operations</t>
  </si>
  <si>
    <t>Other Income</t>
  </si>
  <si>
    <t>Total Income</t>
  </si>
  <si>
    <t xml:space="preserve">  Revenue Growth YoY %</t>
  </si>
  <si>
    <t>-</t>
  </si>
  <si>
    <t>OPERATING EXPENSES</t>
  </si>
  <si>
    <t>Raw Material / COGS</t>
  </si>
  <si>
    <t>Employee Benefit Expenses</t>
  </si>
  <si>
    <t>Other Operating Expenses</t>
  </si>
  <si>
    <t>Total Operating Expenses (ex-D&amp;A)</t>
  </si>
  <si>
    <t>PROFITABILITY</t>
  </si>
  <si>
    <t>EBITDA</t>
  </si>
  <si>
    <t xml:space="preserve">  EBITDA Margin %</t>
  </si>
  <si>
    <t>(-) Depreciation &amp; Amortisation</t>
  </si>
  <si>
    <t>EBIT (Operating Profit)</t>
  </si>
  <si>
    <t xml:space="preserve">  EBIT Margin %</t>
  </si>
  <si>
    <t>(-) Finance Costs (Interest)</t>
  </si>
  <si>
    <t>(-) Exceptional Items</t>
  </si>
  <si>
    <t>Profit Before Tax (PBT)</t>
  </si>
  <si>
    <t xml:space="preserve">  PBT Margin %</t>
  </si>
  <si>
    <t>(-) Income Tax</t>
  </si>
  <si>
    <t>PAT — Net Profit</t>
  </si>
  <si>
    <t xml:space="preserve">  PAT Margin %</t>
  </si>
  <si>
    <t>PER SHARE METRICS</t>
  </si>
  <si>
    <t>EPS (₹ per share)</t>
  </si>
  <si>
    <t>IFB INDUSTRIES — BALANCE SHEET</t>
  </si>
  <si>
    <t>All projected figures linked to Assumptions  |  ₹ Crores</t>
  </si>
  <si>
    <t>EQUITY &amp; LIABILITIES</t>
  </si>
  <si>
    <t>Share Capital</t>
  </si>
  <si>
    <t>TOTAL EQUITY</t>
  </si>
  <si>
    <t>Other Non-Current Liabilities (incl. Def. Tax)</t>
  </si>
  <si>
    <t>TOTAL NON-CURRENT LIABILITIES</t>
  </si>
  <si>
    <t>Trade Payables</t>
  </si>
  <si>
    <t>TOTAL CURRENT LIABILITIES</t>
  </si>
  <si>
    <t>TOTAL EQUITY + LIABILITIES</t>
  </si>
  <si>
    <t>ASSETS</t>
  </si>
  <si>
    <t>Investments (Non-Current)</t>
  </si>
  <si>
    <t>Other Non-Current Assets (CWIP + Intangibles)</t>
  </si>
  <si>
    <t>TOTAL NON-CURRENT ASSETS</t>
  </si>
  <si>
    <t>Inventories</t>
  </si>
  <si>
    <t>Trade Receivables</t>
  </si>
  <si>
    <t>Cash &amp; Cash Equivalents</t>
  </si>
  <si>
    <t>TOTAL CURRENT ASSETS</t>
  </si>
  <si>
    <t>TOTAL ASSETS</t>
  </si>
  <si>
    <t>CHECK: Assets – (Equity+Liabilities) = 0?</t>
  </si>
  <si>
    <t>IFB INDUSTRIES — CASH FLOW STATEMENT</t>
  </si>
  <si>
    <t>All figures are formulas from P&amp;L and Balance Sheet  |  ₹ Crores</t>
  </si>
  <si>
    <t>A. OPERATING ACTIVITIES (INDIRECT METHOD)</t>
  </si>
  <si>
    <t>Net Profit (PAT)</t>
  </si>
  <si>
    <t>(+) Depreciation &amp; Amortisation</t>
  </si>
  <si>
    <t>(+) Finance Costs Added Back</t>
  </si>
  <si>
    <t>(+/-) Changes in Working Capital</t>
  </si>
  <si>
    <t>(-) Tax Paid</t>
  </si>
  <si>
    <t>(-) Finance Costs Paid</t>
  </si>
  <si>
    <t>CASH FROM OPERATIONS (CFO)</t>
  </si>
  <si>
    <t>B. INVESTING ACTIVITIES</t>
  </si>
  <si>
    <t>(-) Capital Expenditure</t>
  </si>
  <si>
    <t>(+/-) Net Change in Investments &amp; Asset Sales</t>
  </si>
  <si>
    <t>CASH FROM INVESTING (CFI)</t>
  </si>
  <si>
    <t>C. FINANCING ACTIVITIES</t>
  </si>
  <si>
    <t>(+/-) Net Borrowings (Raised / Repaid)</t>
  </si>
  <si>
    <t>(-) Dividends Paid</t>
  </si>
  <si>
    <t>CASH FROM FINANCING (CFF)</t>
  </si>
  <si>
    <t>D. FREE CASH FLOW SUMMARY</t>
  </si>
  <si>
    <t>FREE CASH FLOW (FCF = CFO + Capex)</t>
  </si>
  <si>
    <t>FCF Margin %</t>
  </si>
  <si>
    <t>CFO / EBITDA</t>
  </si>
  <si>
    <t>IFB INDUSTRIES — DCF VALUATION</t>
  </si>
  <si>
    <t>FCFF-based intrinsic value  |  All cells are formulas referencing Assumptions and P&amp;L</t>
  </si>
  <si>
    <t>INPUTS PULLED FROM ASSUMPTIONS SHEET</t>
  </si>
  <si>
    <t>Net Debt (₹ Cr)</t>
  </si>
  <si>
    <t>FREE CASH FLOW TO FIRM (FCFF)  — FY27E to FY31E</t>
  </si>
  <si>
    <t>FY30E</t>
  </si>
  <si>
    <t>FY31E</t>
  </si>
  <si>
    <t>EBIT (₹ Cr)</t>
  </si>
  <si>
    <t>(-) Taxes on EBIT (NOPAT adjustment)</t>
  </si>
  <si>
    <t>NOPAT (Net Operating Profit After Tax)</t>
  </si>
  <si>
    <t>(-) Increase in Net Working Capital</t>
  </si>
  <si>
    <t>FCFF (₹ Cr)</t>
  </si>
  <si>
    <t>DISCOUNTING &amp; ENTERPRISE VALUE</t>
  </si>
  <si>
    <t>Discount Period (years)</t>
  </si>
  <si>
    <t>Discount Factor (1/(1+WACC)^t)</t>
  </si>
  <si>
    <t>PV of FCFF (₹ Cr)</t>
  </si>
  <si>
    <t>Sum of PV of FCFF (Phase 1)</t>
  </si>
  <si>
    <t>Terminal Value (FCFF_t5*(1+g)/(WACC-g))</t>
  </si>
  <si>
    <t>PV of Terminal Value</t>
  </si>
  <si>
    <t>Enterprise Value (EV)</t>
  </si>
  <si>
    <t>(-) Net Debt</t>
  </si>
  <si>
    <t>Equity Value (₹ Cr)</t>
  </si>
  <si>
    <t>INTRINSIC VALUE PER SHARE (₹)</t>
  </si>
  <si>
    <t>Upside / Downside vs CMP</t>
  </si>
  <si>
    <t>SENSITIVITY: INTRINSIC VALUE (₹/share) vs WACC and Terminal Growth Rate</t>
  </si>
  <si>
    <t>TGR ↓ / WACC →</t>
  </si>
  <si>
    <t>IFB INDUSTRIES — PEER COMPARABLES VALUATION</t>
  </si>
  <si>
    <t>Indian Consumer Durables / Home Appliances Sector  |  ₹ Crores</t>
  </si>
  <si>
    <t>Mkt Cap</t>
  </si>
  <si>
    <t>Revenue</t>
  </si>
  <si>
    <t>EBITDA%</t>
  </si>
  <si>
    <t>PAT</t>
  </si>
  <si>
    <t>PAT%</t>
  </si>
  <si>
    <t>EV/EBITDA</t>
  </si>
  <si>
    <t>P/E</t>
  </si>
  <si>
    <t>P/B</t>
  </si>
  <si>
    <t>ROCE%</t>
  </si>
  <si>
    <t>Voltas</t>
  </si>
  <si>
    <t>28.5x</t>
  </si>
  <si>
    <t>64.2x</t>
  </si>
  <si>
    <t>6.8x</t>
  </si>
  <si>
    <t>Havells India</t>
  </si>
  <si>
    <t>34.2x</t>
  </si>
  <si>
    <t>61.9x</t>
  </si>
  <si>
    <t>11.2x</t>
  </si>
  <si>
    <t>Blue Star</t>
  </si>
  <si>
    <t>19.8x</t>
  </si>
  <si>
    <t>46.1x</t>
  </si>
  <si>
    <t>7.9x</t>
  </si>
  <si>
    <t>Whirlpool India</t>
  </si>
  <si>
    <t>10.9x</t>
  </si>
  <si>
    <t>26.2x</t>
  </si>
  <si>
    <t>3.1x</t>
  </si>
  <si>
    <t>V-Guard Ind.</t>
  </si>
  <si>
    <t>16.5x</t>
  </si>
  <si>
    <t>30.7x</t>
  </si>
  <si>
    <t>5.2x</t>
  </si>
  <si>
    <t>Crompton CGL</t>
  </si>
  <si>
    <t>16.2x</t>
  </si>
  <si>
    <t>28.1x</t>
  </si>
  <si>
    <t>6.2x</t>
  </si>
  <si>
    <t>Symphony Ltd</t>
  </si>
  <si>
    <t>21.4x</t>
  </si>
  <si>
    <t>26.8x</t>
  </si>
  <si>
    <t>5.6x</t>
  </si>
  <si>
    <t>Bajaj Electric.</t>
  </si>
  <si>
    <t>13.1x</t>
  </si>
  <si>
    <t>21.6x</t>
  </si>
  <si>
    <t>3.8x</t>
  </si>
  <si>
    <t>PEER MEDIAN</t>
  </si>
  <si>
    <t>see below</t>
  </si>
  <si>
    <t>IFB Industries (FY26A)</t>
  </si>
  <si>
    <t>IMPLIED VALUATION (from comps multiples × IFB metrics)</t>
  </si>
  <si>
    <t>EV/EBITDA Approach</t>
  </si>
  <si>
    <t>← Equity Value (₹ Cr)   |   → Implied Price/share</t>
  </si>
  <si>
    <t>P/E Approach</t>
  </si>
  <si>
    <t>← Market Cap (₹ Cr)      |   → Implied Price/share</t>
  </si>
  <si>
    <t>Average Implied Price (₹)</t>
  </si>
  <si>
    <t>vs CMP (Upside/Downside)</t>
  </si>
  <si>
    <t>IFB INDUSTRIES — KEY FINANCIAL RATIOS</t>
  </si>
  <si>
    <t>All ratios are formulas from P&amp;L, Balance Sheet &amp; Assumptions  |  No hardcoding</t>
  </si>
  <si>
    <t>PROFITABILITY RATIOS</t>
  </si>
  <si>
    <t>EBITDA Margin %</t>
  </si>
  <si>
    <t>EBIT Margin %</t>
  </si>
  <si>
    <t>PBT Margin %</t>
  </si>
  <si>
    <t>PAT (Net) Margin %</t>
  </si>
  <si>
    <t>Return on Equity (ROE %)</t>
  </si>
  <si>
    <t>Return on Capital Employed (ROCE %)</t>
  </si>
  <si>
    <t>LIQUIDITY &amp; LEVERAGE RATIOS</t>
  </si>
  <si>
    <t>Current Ratio (x)</t>
  </si>
  <si>
    <t>Debt-to-Equity (D/E)</t>
  </si>
  <si>
    <t>Interest Coverage (EBIT / Interest)</t>
  </si>
  <si>
    <t>WORKING CAPITAL RATIOS</t>
  </si>
  <si>
    <t>Cash Conversion Cycle (days)</t>
  </si>
  <si>
    <t>VALUATION RATIOS (vs CMP in Assumptions)</t>
  </si>
  <si>
    <t>P/E Ratio (x)  [CMP / EPS]</t>
  </si>
  <si>
    <t>P/B Ratio (x)  [Mkt Cap / Book Equity]</t>
  </si>
  <si>
    <t>EV/EBITDA (x)</t>
  </si>
  <si>
    <t>IFB INDUSTRIES — SEGMENT ANALYSIS</t>
  </si>
  <si>
    <t>Home Appliances vs Engineering  |  Revenue from Assumptions, margins computed</t>
  </si>
  <si>
    <t>HOME APPLIANCES SEGMENT</t>
  </si>
  <si>
    <t>Revenue (₹ Cr)</t>
  </si>
  <si>
    <t xml:space="preserve">  YoY Growth %</t>
  </si>
  <si>
    <t xml:space="preserve">  % of Total Revenue</t>
  </si>
  <si>
    <t xml:space="preserve">  Segment EBIT (₹ Cr) [est.]</t>
  </si>
  <si>
    <t xml:space="preserve">  HOME APPLIANCES PRODUCT MIX (% of HA Revenue)</t>
  </si>
  <si>
    <t xml:space="preserve">  Washing Machines</t>
  </si>
  <si>
    <t xml:space="preserve">  Air Conditioners</t>
  </si>
  <si>
    <t xml:space="preserve">  Microwave Ovens</t>
  </si>
  <si>
    <t xml:space="preserve">  Dishwashers &amp; Others</t>
  </si>
  <si>
    <t xml:space="preserve">  After-Sales Service</t>
  </si>
  <si>
    <t>ENGINEERING SEGMENT (Fine Blanked Components)</t>
  </si>
  <si>
    <t>CONSOLIDATED SUMMARY</t>
  </si>
  <si>
    <t>Total Revenue (₹ Cr)</t>
  </si>
  <si>
    <t>Total EBIT (₹ Cr)</t>
  </si>
  <si>
    <t>Blended EBIT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</si>
</sst>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;\(#,##0\);\-"/>
    <numFmt numFmtId="165" formatCode="0.0%;\(0.0%\);\-"/>
    <numFmt numFmtId="166" formatCode="0.0"/>
    <numFmt numFmtId="167" formatCode="0.0\x"/>
    <numFmt numFmtId="168" formatCode="\₹#,##0.00"/>
    <numFmt numFmtId="169" formatCode="0.000"/>
    <numFmt numFmtId="170" formatCode="0.00\x"/>
  </numFmts>
  <fonts count="16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9"/>
      <color rgb="FF0000CD"/>
      <name val="Arial"/>
      <charset val="1"/>
    </font>
    <font>
      <i/>
      <sz val="8"/>
      <color rgb="FF444444"/>
      <name val="Arial"/>
      <charset val="1"/>
    </font>
    <font>
      <i/>
      <sz val="8"/>
      <color rgb="FF888888"/>
      <name val="Arial"/>
      <charset val="1"/>
    </font>
    <font>
      <b/>
      <sz val="11"/>
      <color rgb="FFFFFFFF"/>
      <name val="Arial"/>
      <charset val="1"/>
    </font>
    <font>
      <sz val="9"/>
      <color rgb="FF0000FF"/>
      <name val="Arial"/>
      <charset val="1"/>
    </font>
    <font>
      <sz val="8"/>
      <color rgb="FF000000"/>
      <name val="Arial"/>
      <charset val="1"/>
    </font>
    <font>
      <sz val="9"/>
      <color rgb="FF006400"/>
      <name val="Arial"/>
      <charset val="1"/>
    </font>
    <font>
      <sz val="8"/>
      <color rgb="FF888888"/>
      <name val="Arial"/>
      <charset val="1"/>
    </font>
    <font>
      <sz val="8"/>
      <color rgb="FFFF0000"/>
      <name val="Arial"/>
      <charset val="1"/>
    </font>
    <font>
      <b/>
      <sz val="9"/>
      <color rgb="FF00008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ACD"/>
        <bgColor rgb="FFF2F2F2"/>
      </patternFill>
    </fill>
    <fill>
      <patternFill patternType="solid">
        <fgColor rgb="FFF2F2F2"/>
        <bgColor rgb="FFDEEA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1" fillId="0" borderId="1" xfId="0" applyFont="1" applyBorder="1" applyAlignment="1">
      <alignment horizontal="left" vertical="center" indent="1"/>
    </xf>
    <xf numFmtId="0" fontId="9" fillId="2" borderId="1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0" fillId="0" borderId="0" xfId="0" applyAlignment="1"/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164" fontId="10" fillId="0" borderId="1" xfId="0" applyNumberFormat="1" applyFont="1" applyBorder="1" applyAlignment="1">
      <alignment horizontal="right" vertical="center"/>
    </xf>
    <xf numFmtId="164" fontId="10" fillId="6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left" vertical="center" wrapText="1" indent="1"/>
    </xf>
    <xf numFmtId="165" fontId="10" fillId="0" borderId="1" xfId="0" applyNumberFormat="1" applyFont="1" applyBorder="1" applyAlignment="1">
      <alignment horizontal="right" vertical="center"/>
    </xf>
    <xf numFmtId="165" fontId="10" fillId="6" borderId="1" xfId="0" applyNumberFormat="1" applyFont="1" applyFill="1" applyBorder="1" applyAlignment="1">
      <alignment horizontal="right" vertical="center"/>
    </xf>
    <xf numFmtId="166" fontId="10" fillId="0" borderId="1" xfId="0" applyNumberFormat="1" applyFont="1" applyBorder="1" applyAlignment="1">
      <alignment horizontal="right" vertical="center"/>
    </xf>
    <xf numFmtId="166" fontId="10" fillId="6" borderId="1" xfId="0" applyNumberFormat="1" applyFont="1" applyFill="1" applyBorder="1" applyAlignment="1">
      <alignment horizontal="right" vertical="center"/>
    </xf>
    <xf numFmtId="165" fontId="10" fillId="6" borderId="1" xfId="0" applyNumberFormat="1" applyFont="1" applyFill="1" applyBorder="1" applyAlignment="1"/>
    <xf numFmtId="164" fontId="10" fillId="6" borderId="1" xfId="0" applyNumberFormat="1" applyFont="1" applyFill="1" applyBorder="1" applyAlignment="1"/>
    <xf numFmtId="2" fontId="10" fillId="6" borderId="1" xfId="0" applyNumberFormat="1" applyFont="1" applyFill="1" applyBorder="1" applyAlignment="1"/>
    <xf numFmtId="167" fontId="10" fillId="6" borderId="1" xfId="0" applyNumberFormat="1" applyFont="1" applyFill="1" applyBorder="1" applyAlignment="1"/>
    <xf numFmtId="168" fontId="10" fillId="6" borderId="1" xfId="0" applyNumberFormat="1" applyFont="1" applyFill="1" applyBorder="1" applyAlignment="1"/>
    <xf numFmtId="0" fontId="11" fillId="0" borderId="1" xfId="0" applyFont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164" fontId="3" fillId="7" borderId="1" xfId="0" applyNumberFormat="1" applyFont="1" applyFill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0" fillId="0" borderId="1" xfId="0" applyFont="1" applyBorder="1" applyAlignment="1"/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8" fontId="4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left" vertical="center" indent="1"/>
    </xf>
    <xf numFmtId="164" fontId="14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165" fontId="12" fillId="6" borderId="1" xfId="0" applyNumberFormat="1" applyFont="1" applyFill="1" applyBorder="1" applyAlignment="1">
      <alignment horizontal="right" vertical="center"/>
    </xf>
    <xf numFmtId="164" fontId="12" fillId="6" borderId="1" xfId="0" applyNumberFormat="1" applyFont="1" applyFill="1" applyBorder="1" applyAlignment="1">
      <alignment horizontal="right" vertical="center"/>
    </xf>
    <xf numFmtId="2" fontId="12" fillId="6" borderId="1" xfId="0" applyNumberFormat="1" applyFont="1" applyFill="1" applyBorder="1" applyAlignment="1">
      <alignment horizontal="right" vertical="center"/>
    </xf>
    <xf numFmtId="1" fontId="10" fillId="0" borderId="1" xfId="0" applyNumberFormat="1" applyFont="1" applyBorder="1" applyAlignment="1">
      <alignment horizontal="right" vertical="center"/>
    </xf>
    <xf numFmtId="169" fontId="4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indent="1"/>
    </xf>
    <xf numFmtId="168" fontId="2" fillId="2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indent="1"/>
    </xf>
    <xf numFmtId="164" fontId="4" fillId="7" borderId="1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167" fontId="4" fillId="7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7" fontId="4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 indent="1"/>
    </xf>
    <xf numFmtId="164" fontId="3" fillId="6" borderId="1" xfId="0" applyNumberFormat="1" applyFont="1" applyFill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/>
    <xf numFmtId="0" fontId="15" fillId="4" borderId="1" xfId="0" applyFont="1" applyFill="1" applyBorder="1" applyAlignment="1">
      <alignment horizontal="left" vertical="center" indent="1"/>
    </xf>
    <xf numFmtId="164" fontId="12" fillId="4" borderId="1" xfId="0" applyNumberFormat="1" applyFont="1" applyFill="1" applyBorder="1" applyAlignment="1"/>
    <xf numFmtId="165" fontId="12" fillId="4" borderId="1" xfId="0" applyNumberFormat="1" applyFont="1" applyFill="1" applyBorder="1" applyAlignment="1"/>
    <xf numFmtId="167" fontId="12" fillId="4" borderId="1" xfId="0" applyNumberFormat="1" applyFont="1" applyFill="1" applyBorder="1" applyAlignment="1"/>
    <xf numFmtId="165" fontId="10" fillId="4" borderId="1" xfId="0" applyNumberFormat="1" applyFont="1" applyFill="1" applyBorder="1" applyAlignment="1"/>
    <xf numFmtId="164" fontId="12" fillId="0" borderId="1" xfId="0" applyNumberFormat="1" applyFont="1" applyBorder="1" applyAlignment="1"/>
    <xf numFmtId="168" fontId="3" fillId="0" borderId="1" xfId="0" applyNumberFormat="1" applyFont="1" applyBorder="1" applyAlignment="1"/>
    <xf numFmtId="168" fontId="5" fillId="2" borderId="1" xfId="0" applyNumberFormat="1" applyFont="1" applyFill="1" applyBorder="1" applyAlignment="1"/>
    <xf numFmtId="165" fontId="3" fillId="0" borderId="1" xfId="0" applyNumberFormat="1" applyFont="1" applyBorder="1" applyAlignment="1"/>
    <xf numFmtId="170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8" fontId="12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indent="1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ACD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CD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showGridLines="0" topLeftCell="A7" zoomScaleNormal="100" workbookViewId="0">
      <selection sqref="A1:I1"/>
    </sheetView>
  </sheetViews>
  <sheetFormatPr defaultColWidth="8.6640625" defaultRowHeight="14.4" x14ac:dyDescent="0.3"/>
  <cols>
    <col min="1" max="1" width="3" style="9" customWidth="1"/>
    <col min="2" max="3" width="35" style="9" customWidth="1"/>
    <col min="4" max="10" width="14" style="9" customWidth="1"/>
  </cols>
  <sheetData>
    <row r="1" spans="1:9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9" ht="15.75" customHeight="1" x14ac:dyDescent="0.3"/>
    <row r="4" spans="1:9" ht="15.75" customHeight="1" x14ac:dyDescent="0.3">
      <c r="B4" s="10" t="s">
        <v>2</v>
      </c>
      <c r="C4" s="11" t="s">
        <v>3</v>
      </c>
    </row>
    <row r="5" spans="1:9" ht="15.75" customHeight="1" x14ac:dyDescent="0.3">
      <c r="B5" s="10" t="s">
        <v>4</v>
      </c>
      <c r="C5" s="11" t="s">
        <v>5</v>
      </c>
    </row>
    <row r="6" spans="1:9" ht="15.75" customHeight="1" x14ac:dyDescent="0.3">
      <c r="B6" s="10" t="s">
        <v>6</v>
      </c>
      <c r="C6" s="11" t="s">
        <v>7</v>
      </c>
    </row>
    <row r="7" spans="1:9" ht="15.75" customHeight="1" x14ac:dyDescent="0.3">
      <c r="B7" s="10" t="s">
        <v>8</v>
      </c>
      <c r="C7" s="11" t="s">
        <v>9</v>
      </c>
    </row>
    <row r="8" spans="1:9" ht="15.75" customHeight="1" x14ac:dyDescent="0.3">
      <c r="B8" s="10" t="s">
        <v>10</v>
      </c>
      <c r="C8" s="11" t="s">
        <v>11</v>
      </c>
    </row>
    <row r="9" spans="1:9" ht="15.75" customHeight="1" x14ac:dyDescent="0.3">
      <c r="B9" s="10" t="s">
        <v>12</v>
      </c>
      <c r="C9" s="11" t="s">
        <v>13</v>
      </c>
    </row>
    <row r="10" spans="1:9" ht="15.75" customHeight="1" x14ac:dyDescent="0.3">
      <c r="B10" s="10" t="s">
        <v>14</v>
      </c>
      <c r="C10" s="11" t="s">
        <v>15</v>
      </c>
    </row>
    <row r="11" spans="1:9" ht="15.75" customHeight="1" x14ac:dyDescent="0.3">
      <c r="B11" s="10" t="s">
        <v>16</v>
      </c>
      <c r="C11" s="11" t="s">
        <v>17</v>
      </c>
    </row>
    <row r="12" spans="1:9" ht="15.75" customHeight="1" x14ac:dyDescent="0.3">
      <c r="B12" s="10" t="s">
        <v>18</v>
      </c>
      <c r="C12" s="11" t="s">
        <v>19</v>
      </c>
    </row>
    <row r="13" spans="1:9" ht="15.75" customHeight="1" x14ac:dyDescent="0.3">
      <c r="B13" s="10" t="s">
        <v>20</v>
      </c>
      <c r="C13" s="11" t="s">
        <v>21</v>
      </c>
    </row>
    <row r="14" spans="1:9" ht="15.75" customHeight="1" x14ac:dyDescent="0.3">
      <c r="B14" s="10" t="s">
        <v>22</v>
      </c>
      <c r="C14" s="11" t="s">
        <v>23</v>
      </c>
    </row>
    <row r="15" spans="1:9" ht="15.75" customHeight="1" x14ac:dyDescent="0.3">
      <c r="B15" s="10" t="s">
        <v>24</v>
      </c>
      <c r="C15" s="11" t="s">
        <v>25</v>
      </c>
    </row>
    <row r="16" spans="1:9" ht="15.75" customHeight="1" x14ac:dyDescent="0.3"/>
    <row r="17" spans="2:9" ht="15.75" customHeight="1" x14ac:dyDescent="0.3">
      <c r="B17" s="6" t="s">
        <v>26</v>
      </c>
      <c r="C17" s="6"/>
      <c r="D17" s="6"/>
      <c r="E17" s="6"/>
      <c r="F17" s="6"/>
      <c r="G17" s="6"/>
    </row>
    <row r="18" spans="2:9" ht="15.75" customHeight="1" x14ac:dyDescent="0.3">
      <c r="B18" s="12" t="s">
        <v>27</v>
      </c>
      <c r="C18" s="5" t="s">
        <v>28</v>
      </c>
      <c r="D18" s="5"/>
      <c r="E18" s="5"/>
      <c r="F18" s="5"/>
      <c r="G18" s="5"/>
      <c r="H18" s="5"/>
      <c r="I18" s="5"/>
    </row>
    <row r="19" spans="2:9" ht="15.75" customHeight="1" x14ac:dyDescent="0.3">
      <c r="B19" s="12" t="s">
        <v>29</v>
      </c>
      <c r="C19" s="5" t="s">
        <v>30</v>
      </c>
      <c r="D19" s="5"/>
      <c r="E19" s="5"/>
      <c r="F19" s="5"/>
      <c r="G19" s="5"/>
      <c r="H19" s="5"/>
      <c r="I19" s="5"/>
    </row>
    <row r="20" spans="2:9" ht="15.75" customHeight="1" x14ac:dyDescent="0.3">
      <c r="B20" s="12" t="s">
        <v>31</v>
      </c>
      <c r="C20" s="5" t="s">
        <v>32</v>
      </c>
      <c r="D20" s="5"/>
      <c r="E20" s="5"/>
      <c r="F20" s="5"/>
      <c r="G20" s="5"/>
      <c r="H20" s="5"/>
      <c r="I20" s="5"/>
    </row>
    <row r="21" spans="2:9" ht="15.75" customHeight="1" x14ac:dyDescent="0.3">
      <c r="B21" s="12" t="s">
        <v>33</v>
      </c>
      <c r="C21" s="5" t="s">
        <v>34</v>
      </c>
      <c r="D21" s="5"/>
      <c r="E21" s="5"/>
      <c r="F21" s="5"/>
      <c r="G21" s="5"/>
      <c r="H21" s="5"/>
      <c r="I21" s="5"/>
    </row>
    <row r="22" spans="2:9" ht="15.75" customHeight="1" x14ac:dyDescent="0.3">
      <c r="B22" s="12" t="s">
        <v>35</v>
      </c>
      <c r="C22" s="5" t="s">
        <v>36</v>
      </c>
      <c r="D22" s="5"/>
      <c r="E22" s="5"/>
      <c r="F22" s="5"/>
      <c r="G22" s="5"/>
      <c r="H22" s="5"/>
      <c r="I22" s="5"/>
    </row>
    <row r="23" spans="2:9" ht="15.75" customHeight="1" x14ac:dyDescent="0.3">
      <c r="B23" s="12" t="s">
        <v>37</v>
      </c>
      <c r="C23" s="5" t="s">
        <v>38</v>
      </c>
      <c r="D23" s="5"/>
      <c r="E23" s="5"/>
      <c r="F23" s="5"/>
      <c r="G23" s="5"/>
      <c r="H23" s="5"/>
      <c r="I23" s="5"/>
    </row>
    <row r="24" spans="2:9" ht="15.75" customHeight="1" x14ac:dyDescent="0.3">
      <c r="B24" s="12" t="s">
        <v>39</v>
      </c>
      <c r="C24" s="5" t="s">
        <v>40</v>
      </c>
      <c r="D24" s="5"/>
      <c r="E24" s="5"/>
      <c r="F24" s="5"/>
      <c r="G24" s="5"/>
      <c r="H24" s="5"/>
      <c r="I24" s="5"/>
    </row>
    <row r="25" spans="2:9" ht="15.75" customHeight="1" x14ac:dyDescent="0.3">
      <c r="B25" s="12" t="s">
        <v>41</v>
      </c>
      <c r="C25" s="5" t="s">
        <v>42</v>
      </c>
      <c r="D25" s="5"/>
      <c r="E25" s="5"/>
      <c r="F25" s="5"/>
      <c r="G25" s="5"/>
      <c r="H25" s="5"/>
      <c r="I25" s="5"/>
    </row>
    <row r="26" spans="2:9" ht="15.75" customHeight="1" x14ac:dyDescent="0.3"/>
    <row r="27" spans="2:9" ht="15.75" customHeight="1" x14ac:dyDescent="0.3">
      <c r="B27" s="4" t="s">
        <v>43</v>
      </c>
      <c r="C27" s="4"/>
      <c r="D27" s="4"/>
      <c r="E27" s="4"/>
      <c r="F27" s="4"/>
      <c r="G27" s="4"/>
      <c r="H27" s="4"/>
      <c r="I27" s="4"/>
    </row>
    <row r="28" spans="2:9" ht="15.75" customHeight="1" x14ac:dyDescent="0.3">
      <c r="B28" s="3" t="s">
        <v>44</v>
      </c>
      <c r="C28" s="3"/>
      <c r="D28" s="3"/>
      <c r="E28" s="3"/>
      <c r="F28" s="3"/>
      <c r="G28" s="3"/>
      <c r="H28" s="3"/>
      <c r="I28" s="3"/>
    </row>
    <row r="29" spans="2:9" ht="15.75" customHeight="1" x14ac:dyDescent="0.3"/>
    <row r="30" spans="2:9" ht="15.75" customHeight="1" x14ac:dyDescent="0.3"/>
    <row r="31" spans="2:9" ht="15.75" customHeight="1" x14ac:dyDescent="0.3"/>
    <row r="32" spans="2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</sheetData>
  <mergeCells count="13">
    <mergeCell ref="C25:I25"/>
    <mergeCell ref="B27:I27"/>
    <mergeCell ref="B28:I28"/>
    <mergeCell ref="C20:I20"/>
    <mergeCell ref="C21:I21"/>
    <mergeCell ref="C22:I22"/>
    <mergeCell ref="C23:I23"/>
    <mergeCell ref="C24:I24"/>
    <mergeCell ref="A1:I1"/>
    <mergeCell ref="A2:I2"/>
    <mergeCell ref="B17:G17"/>
    <mergeCell ref="C18:I18"/>
    <mergeCell ref="C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showGridLines="0" zoomScaleNormal="100" workbookViewId="0">
      <selection sqref="A1:K1"/>
    </sheetView>
  </sheetViews>
  <sheetFormatPr defaultColWidth="8.6640625" defaultRowHeight="14.4" x14ac:dyDescent="0.3"/>
  <cols>
    <col min="1" max="1" width="3" style="9" customWidth="1"/>
    <col min="2" max="2" width="42" style="9" customWidth="1"/>
    <col min="3" max="10" width="15" style="9" customWidth="1"/>
    <col min="11" max="11" width="30" style="9" customWidth="1"/>
  </cols>
  <sheetData>
    <row r="1" spans="1:11" ht="25.5" customHeight="1" x14ac:dyDescent="0.3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 x14ac:dyDescent="0.3">
      <c r="A2" s="6" t="s">
        <v>46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15" customHeight="1" x14ac:dyDescent="0.3">
      <c r="B4" s="14" t="s">
        <v>47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6" t="s">
        <v>53</v>
      </c>
      <c r="I4" s="16" t="s">
        <v>54</v>
      </c>
      <c r="J4" s="16" t="s">
        <v>55</v>
      </c>
      <c r="K4" s="16" t="s">
        <v>56</v>
      </c>
    </row>
    <row r="5" spans="1:11" ht="15" customHeight="1" x14ac:dyDescent="0.3">
      <c r="B5" s="6" t="s">
        <v>57</v>
      </c>
      <c r="C5" s="6"/>
      <c r="D5" s="6"/>
      <c r="E5" s="6"/>
      <c r="F5" s="6"/>
      <c r="G5" s="6"/>
      <c r="H5" s="6"/>
      <c r="I5" s="6"/>
      <c r="J5" s="6"/>
      <c r="K5" s="6"/>
    </row>
    <row r="6" spans="1:11" ht="18.75" customHeight="1" x14ac:dyDescent="0.3">
      <c r="B6" s="17" t="s">
        <v>58</v>
      </c>
      <c r="C6" s="18">
        <v>3339</v>
      </c>
      <c r="D6" s="18">
        <v>4104</v>
      </c>
      <c r="E6" s="18">
        <v>4312</v>
      </c>
      <c r="F6" s="18">
        <v>4942</v>
      </c>
      <c r="G6" s="18">
        <v>5443</v>
      </c>
      <c r="H6" s="19">
        <v>6097</v>
      </c>
      <c r="I6" s="19">
        <v>6830</v>
      </c>
      <c r="J6" s="19">
        <v>7650</v>
      </c>
      <c r="K6" s="20" t="s">
        <v>59</v>
      </c>
    </row>
    <row r="7" spans="1:11" ht="18.75" customHeight="1" x14ac:dyDescent="0.3">
      <c r="B7" s="17" t="s">
        <v>60</v>
      </c>
      <c r="C7" s="18">
        <v>2720</v>
      </c>
      <c r="D7" s="18">
        <v>3416</v>
      </c>
      <c r="E7" s="18">
        <v>3609</v>
      </c>
      <c r="F7" s="18">
        <v>4086</v>
      </c>
      <c r="G7" s="18">
        <v>4362</v>
      </c>
      <c r="H7" s="19">
        <v>4900</v>
      </c>
      <c r="I7" s="19">
        <v>5500</v>
      </c>
      <c r="J7" s="19">
        <v>6160</v>
      </c>
      <c r="K7" s="20" t="s">
        <v>61</v>
      </c>
    </row>
    <row r="8" spans="1:11" ht="18.75" customHeight="1" x14ac:dyDescent="0.3">
      <c r="B8" s="17" t="s">
        <v>62</v>
      </c>
      <c r="C8" s="18">
        <v>619</v>
      </c>
      <c r="D8" s="18">
        <v>688</v>
      </c>
      <c r="E8" s="18">
        <v>703</v>
      </c>
      <c r="F8" s="18">
        <v>856</v>
      </c>
      <c r="G8" s="18">
        <v>880</v>
      </c>
      <c r="H8" s="19">
        <v>990</v>
      </c>
      <c r="I8" s="19">
        <v>1109</v>
      </c>
      <c r="J8" s="19">
        <v>1242</v>
      </c>
      <c r="K8" s="20" t="s">
        <v>63</v>
      </c>
    </row>
    <row r="9" spans="1:11" ht="18.75" customHeight="1" x14ac:dyDescent="0.3">
      <c r="B9" s="17" t="s">
        <v>64</v>
      </c>
      <c r="C9" s="18">
        <v>0</v>
      </c>
      <c r="D9" s="18">
        <v>0</v>
      </c>
      <c r="E9" s="18">
        <v>0</v>
      </c>
      <c r="F9" s="18">
        <v>0</v>
      </c>
      <c r="G9" s="18">
        <v>201</v>
      </c>
      <c r="H9" s="19">
        <v>207</v>
      </c>
      <c r="I9" s="19">
        <v>221</v>
      </c>
      <c r="J9" s="19">
        <v>248</v>
      </c>
      <c r="K9" s="20" t="s">
        <v>65</v>
      </c>
    </row>
    <row r="11" spans="1:11" ht="15" customHeight="1" x14ac:dyDescent="0.3">
      <c r="B11" s="6" t="s">
        <v>66</v>
      </c>
      <c r="C11" s="6"/>
      <c r="D11" s="6"/>
      <c r="E11" s="6"/>
      <c r="F11" s="6"/>
      <c r="G11" s="6"/>
      <c r="H11" s="6"/>
      <c r="I11" s="6"/>
      <c r="J11" s="6"/>
      <c r="K11" s="6"/>
    </row>
    <row r="12" spans="1:11" ht="15" customHeight="1" x14ac:dyDescent="0.3">
      <c r="B12" s="17" t="s">
        <v>67</v>
      </c>
      <c r="C12" s="21">
        <v>0.216</v>
      </c>
      <c r="D12" s="21">
        <v>0.24</v>
      </c>
      <c r="E12" s="21">
        <v>0.26800000000000002</v>
      </c>
      <c r="F12" s="21">
        <v>0.28299999999999997</v>
      </c>
      <c r="G12" s="21">
        <v>0.28000000000000003</v>
      </c>
      <c r="H12" s="22">
        <v>0.28999999999999998</v>
      </c>
      <c r="I12" s="22">
        <v>0.29499999999999998</v>
      </c>
      <c r="J12" s="22">
        <v>0.3</v>
      </c>
      <c r="K12" s="20" t="s">
        <v>68</v>
      </c>
    </row>
    <row r="13" spans="1:11" ht="15" customHeight="1" x14ac:dyDescent="0.3">
      <c r="B13" s="17" t="s">
        <v>69</v>
      </c>
      <c r="C13" s="21">
        <v>8.8999999999999996E-2</v>
      </c>
      <c r="D13" s="21">
        <v>8.3000000000000004E-2</v>
      </c>
      <c r="E13" s="21">
        <v>8.1000000000000003E-2</v>
      </c>
      <c r="F13" s="21">
        <v>7.9000000000000001E-2</v>
      </c>
      <c r="G13" s="21">
        <v>0.08</v>
      </c>
      <c r="H13" s="22">
        <v>7.8E-2</v>
      </c>
      <c r="I13" s="22">
        <v>7.6999999999999999E-2</v>
      </c>
      <c r="J13" s="22">
        <v>7.4999999999999997E-2</v>
      </c>
    </row>
    <row r="14" spans="1:11" ht="15" customHeight="1" x14ac:dyDescent="0.3">
      <c r="B14" s="17" t="s">
        <v>70</v>
      </c>
      <c r="C14" s="21">
        <v>5.7000000000000002E-2</v>
      </c>
      <c r="D14" s="21">
        <v>5.2999999999999999E-2</v>
      </c>
      <c r="E14" s="21">
        <v>0.06</v>
      </c>
      <c r="F14" s="21">
        <v>0.06</v>
      </c>
      <c r="G14" s="21">
        <v>0.06</v>
      </c>
      <c r="H14" s="22">
        <v>6.2E-2</v>
      </c>
      <c r="I14" s="22">
        <v>0.06</v>
      </c>
      <c r="J14" s="22">
        <v>5.8000000000000003E-2</v>
      </c>
    </row>
    <row r="15" spans="1:11" ht="15" customHeight="1" x14ac:dyDescent="0.3">
      <c r="B15" s="17" t="s">
        <v>71</v>
      </c>
      <c r="C15" s="18">
        <v>28</v>
      </c>
      <c r="D15" s="18">
        <v>26</v>
      </c>
      <c r="E15" s="18">
        <v>32</v>
      </c>
      <c r="F15" s="18">
        <v>35</v>
      </c>
      <c r="G15" s="18">
        <v>30</v>
      </c>
      <c r="H15" s="19">
        <v>32</v>
      </c>
      <c r="I15" s="19">
        <v>36</v>
      </c>
      <c r="J15" s="19">
        <v>40</v>
      </c>
      <c r="K15" s="20" t="s">
        <v>72</v>
      </c>
    </row>
    <row r="17" spans="2:11" ht="15" customHeight="1" x14ac:dyDescent="0.3">
      <c r="B17" s="6" t="s">
        <v>73</v>
      </c>
      <c r="C17" s="6"/>
      <c r="D17" s="6"/>
      <c r="E17" s="6"/>
      <c r="F17" s="6"/>
      <c r="G17" s="6"/>
      <c r="H17" s="6"/>
      <c r="I17" s="6"/>
      <c r="J17" s="6"/>
      <c r="K17" s="6"/>
    </row>
    <row r="18" spans="2:11" ht="15" customHeight="1" x14ac:dyDescent="0.3">
      <c r="B18" s="17" t="s">
        <v>74</v>
      </c>
      <c r="C18" s="18">
        <v>113</v>
      </c>
      <c r="D18" s="18">
        <v>119</v>
      </c>
      <c r="E18" s="18">
        <v>122</v>
      </c>
      <c r="F18" s="18">
        <v>129</v>
      </c>
      <c r="G18" s="18">
        <v>123</v>
      </c>
      <c r="H18" s="19">
        <v>135</v>
      </c>
      <c r="I18" s="19">
        <v>150</v>
      </c>
      <c r="J18" s="19">
        <v>165</v>
      </c>
      <c r="K18" s="20" t="s">
        <v>75</v>
      </c>
    </row>
    <row r="19" spans="2:11" ht="15" customHeight="1" x14ac:dyDescent="0.3">
      <c r="B19" s="17" t="s">
        <v>76</v>
      </c>
      <c r="C19" s="18">
        <v>126</v>
      </c>
      <c r="D19" s="18">
        <v>166</v>
      </c>
      <c r="E19" s="18">
        <v>154</v>
      </c>
      <c r="F19" s="18">
        <v>189</v>
      </c>
      <c r="G19" s="18">
        <v>210</v>
      </c>
      <c r="H19" s="19">
        <v>230</v>
      </c>
      <c r="I19" s="19">
        <v>250</v>
      </c>
      <c r="J19" s="19">
        <v>270</v>
      </c>
      <c r="K19" s="20" t="s">
        <v>77</v>
      </c>
    </row>
    <row r="20" spans="2:11" ht="15" customHeight="1" x14ac:dyDescent="0.3">
      <c r="B20" s="17" t="s">
        <v>78</v>
      </c>
      <c r="C20" s="18">
        <v>34</v>
      </c>
      <c r="D20" s="18">
        <v>33</v>
      </c>
      <c r="E20" s="18">
        <v>30</v>
      </c>
      <c r="F20" s="18">
        <v>27</v>
      </c>
      <c r="G20" s="18">
        <v>24</v>
      </c>
      <c r="H20" s="19">
        <v>24</v>
      </c>
      <c r="I20" s="19">
        <v>21</v>
      </c>
      <c r="J20" s="19">
        <v>18</v>
      </c>
      <c r="K20" s="20" t="s">
        <v>79</v>
      </c>
    </row>
    <row r="22" spans="2:11" ht="15" customHeight="1" x14ac:dyDescent="0.3">
      <c r="B22" s="6" t="s">
        <v>80</v>
      </c>
      <c r="C22" s="6"/>
      <c r="D22" s="6"/>
      <c r="E22" s="6"/>
      <c r="F22" s="6"/>
      <c r="G22" s="6"/>
      <c r="H22" s="6"/>
      <c r="I22" s="6"/>
      <c r="J22" s="6"/>
      <c r="K22" s="6"/>
    </row>
    <row r="23" spans="2:11" ht="18.75" customHeight="1" x14ac:dyDescent="0.3">
      <c r="B23" s="17" t="s">
        <v>81</v>
      </c>
      <c r="C23" s="21">
        <v>-0.33</v>
      </c>
      <c r="D23" s="21">
        <v>0.5</v>
      </c>
      <c r="E23" s="21">
        <v>0.24</v>
      </c>
      <c r="F23" s="21">
        <v>0.25</v>
      </c>
      <c r="G23" s="21">
        <v>0.25</v>
      </c>
      <c r="H23" s="22">
        <v>0.26</v>
      </c>
      <c r="I23" s="22">
        <v>0.26</v>
      </c>
      <c r="J23" s="22">
        <v>0.26</v>
      </c>
      <c r="K23" s="20" t="s">
        <v>82</v>
      </c>
    </row>
    <row r="24" spans="2:11" ht="18.75" customHeight="1" x14ac:dyDescent="0.3">
      <c r="B24" s="17" t="s">
        <v>83</v>
      </c>
      <c r="C24" s="18">
        <v>0</v>
      </c>
      <c r="D24" s="18">
        <v>0</v>
      </c>
      <c r="E24" s="18">
        <v>0</v>
      </c>
      <c r="F24" s="18">
        <v>0</v>
      </c>
      <c r="G24" s="18">
        <v>14</v>
      </c>
      <c r="H24" s="19">
        <v>0</v>
      </c>
      <c r="I24" s="19">
        <v>0</v>
      </c>
      <c r="J24" s="19">
        <v>0</v>
      </c>
      <c r="K24" s="20" t="s">
        <v>84</v>
      </c>
    </row>
    <row r="26" spans="2:11" ht="15" customHeight="1" x14ac:dyDescent="0.3">
      <c r="B26" s="6" t="s">
        <v>85</v>
      </c>
      <c r="C26" s="6"/>
      <c r="D26" s="6"/>
      <c r="E26" s="6"/>
      <c r="F26" s="6"/>
      <c r="G26" s="6"/>
      <c r="H26" s="6"/>
      <c r="I26" s="6"/>
      <c r="J26" s="6"/>
      <c r="K26" s="6"/>
    </row>
    <row r="27" spans="2:11" ht="15" customHeight="1" x14ac:dyDescent="0.3">
      <c r="B27" s="17" t="s">
        <v>86</v>
      </c>
      <c r="C27" s="23">
        <v>32</v>
      </c>
      <c r="D27" s="23">
        <v>35</v>
      </c>
      <c r="E27" s="23">
        <v>37</v>
      </c>
      <c r="F27" s="23">
        <v>30</v>
      </c>
      <c r="G27" s="23">
        <v>30</v>
      </c>
      <c r="H27" s="24">
        <v>30</v>
      </c>
      <c r="I27" s="24">
        <v>29</v>
      </c>
      <c r="J27" s="24">
        <v>29</v>
      </c>
    </row>
    <row r="28" spans="2:11" ht="15" customHeight="1" x14ac:dyDescent="0.3">
      <c r="B28" s="17" t="s">
        <v>87</v>
      </c>
      <c r="C28" s="23">
        <v>104</v>
      </c>
      <c r="D28" s="23">
        <v>83</v>
      </c>
      <c r="E28" s="23">
        <v>77</v>
      </c>
      <c r="F28" s="23">
        <v>81</v>
      </c>
      <c r="G28" s="23">
        <v>80</v>
      </c>
      <c r="H28" s="24">
        <v>79</v>
      </c>
      <c r="I28" s="24">
        <v>78</v>
      </c>
      <c r="J28" s="24">
        <v>77</v>
      </c>
    </row>
    <row r="29" spans="2:11" ht="15" customHeight="1" x14ac:dyDescent="0.3">
      <c r="B29" s="17" t="s">
        <v>88</v>
      </c>
      <c r="C29" s="23">
        <v>145</v>
      </c>
      <c r="D29" s="23">
        <v>119</v>
      </c>
      <c r="E29" s="23">
        <v>137</v>
      </c>
      <c r="F29" s="23">
        <v>113</v>
      </c>
      <c r="G29" s="23">
        <v>115</v>
      </c>
      <c r="H29" s="24">
        <v>115</v>
      </c>
      <c r="I29" s="24">
        <v>115</v>
      </c>
      <c r="J29" s="24">
        <v>115</v>
      </c>
    </row>
    <row r="31" spans="2:11" ht="15" customHeight="1" x14ac:dyDescent="0.3">
      <c r="B31" s="6" t="s">
        <v>89</v>
      </c>
      <c r="C31" s="6"/>
      <c r="D31" s="6"/>
      <c r="E31" s="6"/>
      <c r="F31" s="6"/>
      <c r="G31" s="6"/>
      <c r="H31" s="6"/>
      <c r="I31" s="6"/>
      <c r="J31" s="6"/>
      <c r="K31" s="6"/>
    </row>
    <row r="32" spans="2:11" ht="15" customHeight="1" x14ac:dyDescent="0.3">
      <c r="B32" s="17" t="s">
        <v>90</v>
      </c>
      <c r="C32" s="18">
        <v>41</v>
      </c>
      <c r="D32" s="18">
        <v>41</v>
      </c>
      <c r="E32" s="18">
        <v>41</v>
      </c>
      <c r="F32" s="18">
        <v>41</v>
      </c>
      <c r="G32" s="18">
        <v>41</v>
      </c>
      <c r="H32" s="19">
        <v>41</v>
      </c>
      <c r="I32" s="19">
        <v>41</v>
      </c>
      <c r="J32" s="19">
        <v>41</v>
      </c>
    </row>
    <row r="33" spans="2:11" ht="15" customHeight="1" x14ac:dyDescent="0.3">
      <c r="B33" s="17" t="s">
        <v>91</v>
      </c>
      <c r="C33" s="18">
        <v>596</v>
      </c>
      <c r="D33" s="18">
        <v>615</v>
      </c>
      <c r="E33" s="18">
        <v>685</v>
      </c>
      <c r="F33" s="18">
        <v>817</v>
      </c>
      <c r="G33" s="18">
        <v>893</v>
      </c>
      <c r="H33" s="19">
        <v>1074</v>
      </c>
      <c r="I33" s="19">
        <v>1305</v>
      </c>
      <c r="J33" s="19">
        <v>1601</v>
      </c>
      <c r="K33" s="20" t="s">
        <v>92</v>
      </c>
    </row>
    <row r="34" spans="2:11" ht="15" customHeight="1" x14ac:dyDescent="0.3">
      <c r="B34" s="17" t="s">
        <v>93</v>
      </c>
      <c r="C34" s="18">
        <v>188</v>
      </c>
      <c r="D34" s="18">
        <v>168</v>
      </c>
      <c r="E34" s="18">
        <v>50</v>
      </c>
      <c r="F34" s="18">
        <v>130</v>
      </c>
      <c r="G34" s="18">
        <v>80</v>
      </c>
      <c r="H34" s="19">
        <v>70</v>
      </c>
      <c r="I34" s="19">
        <v>60</v>
      </c>
      <c r="J34" s="19">
        <v>50</v>
      </c>
    </row>
    <row r="35" spans="2:11" ht="15" customHeight="1" x14ac:dyDescent="0.3">
      <c r="B35" s="17" t="s">
        <v>94</v>
      </c>
      <c r="C35" s="18">
        <v>169</v>
      </c>
      <c r="D35" s="18">
        <v>180</v>
      </c>
      <c r="E35" s="18">
        <v>112</v>
      </c>
      <c r="F35" s="18">
        <v>119</v>
      </c>
      <c r="G35" s="18">
        <v>84</v>
      </c>
      <c r="H35" s="19">
        <v>90</v>
      </c>
      <c r="I35" s="19">
        <v>80</v>
      </c>
      <c r="J35" s="19">
        <v>70</v>
      </c>
    </row>
    <row r="36" spans="2:11" ht="15" customHeight="1" x14ac:dyDescent="0.3">
      <c r="B36" s="17" t="s">
        <v>95</v>
      </c>
      <c r="C36" s="18">
        <v>672</v>
      </c>
      <c r="D36" s="18">
        <v>669</v>
      </c>
      <c r="E36" s="18">
        <v>606</v>
      </c>
      <c r="F36" s="18">
        <v>671</v>
      </c>
      <c r="G36" s="18">
        <v>651</v>
      </c>
      <c r="H36" s="19">
        <v>703</v>
      </c>
      <c r="I36" s="19">
        <v>803</v>
      </c>
      <c r="J36" s="19">
        <v>908</v>
      </c>
      <c r="K36" s="20" t="s">
        <v>96</v>
      </c>
    </row>
    <row r="37" spans="2:11" ht="15" customHeight="1" x14ac:dyDescent="0.3">
      <c r="B37" s="17" t="s">
        <v>97</v>
      </c>
      <c r="C37" s="18">
        <v>251</v>
      </c>
      <c r="D37" s="18">
        <v>210</v>
      </c>
      <c r="E37" s="18">
        <v>311</v>
      </c>
      <c r="F37" s="18">
        <v>321</v>
      </c>
      <c r="G37" s="18">
        <v>347</v>
      </c>
      <c r="H37" s="19">
        <v>360</v>
      </c>
      <c r="I37" s="19">
        <v>395</v>
      </c>
      <c r="J37" s="19">
        <v>430</v>
      </c>
    </row>
    <row r="38" spans="2:11" ht="15" customHeight="1" x14ac:dyDescent="0.3">
      <c r="B38" s="17" t="s">
        <v>98</v>
      </c>
      <c r="C38" s="18">
        <v>72</v>
      </c>
      <c r="D38" s="18">
        <v>65</v>
      </c>
      <c r="E38" s="18">
        <v>92</v>
      </c>
      <c r="F38" s="18">
        <v>71</v>
      </c>
      <c r="G38" s="18">
        <v>65</v>
      </c>
      <c r="H38" s="19">
        <v>82</v>
      </c>
      <c r="I38" s="19">
        <v>166</v>
      </c>
      <c r="J38" s="19">
        <v>306</v>
      </c>
      <c r="K38" s="20" t="s">
        <v>99</v>
      </c>
    </row>
    <row r="39" spans="2:11" ht="15" customHeight="1" x14ac:dyDescent="0.3">
      <c r="B39" s="17" t="s">
        <v>100</v>
      </c>
      <c r="C39" s="18">
        <v>90</v>
      </c>
      <c r="D39" s="18">
        <v>120</v>
      </c>
      <c r="E39" s="18">
        <v>130</v>
      </c>
      <c r="F39" s="18">
        <v>145</v>
      </c>
      <c r="G39" s="18">
        <v>155</v>
      </c>
      <c r="H39" s="19">
        <v>170</v>
      </c>
      <c r="I39" s="19">
        <v>200</v>
      </c>
      <c r="J39" s="19">
        <v>250</v>
      </c>
    </row>
    <row r="40" spans="2:11" ht="15" customHeight="1" x14ac:dyDescent="0.3">
      <c r="B40" s="17" t="s">
        <v>101</v>
      </c>
      <c r="C40" s="18">
        <v>584</v>
      </c>
      <c r="D40" s="18">
        <v>583</v>
      </c>
      <c r="E40" s="18">
        <v>484</v>
      </c>
      <c r="F40" s="18">
        <v>549</v>
      </c>
      <c r="G40" s="18">
        <v>463</v>
      </c>
      <c r="H40" s="19">
        <v>434</v>
      </c>
      <c r="I40" s="19">
        <v>386</v>
      </c>
      <c r="J40" s="19">
        <v>344</v>
      </c>
    </row>
    <row r="41" spans="2:11" ht="15" customHeight="1" x14ac:dyDescent="0.3">
      <c r="B41" s="17" t="s">
        <v>102</v>
      </c>
      <c r="C41" s="18">
        <v>381</v>
      </c>
      <c r="D41" s="18">
        <v>437</v>
      </c>
      <c r="E41" s="18">
        <v>495</v>
      </c>
      <c r="F41" s="18">
        <v>654</v>
      </c>
      <c r="G41" s="18">
        <v>669</v>
      </c>
      <c r="H41" s="19">
        <v>730</v>
      </c>
      <c r="I41" s="19">
        <v>800</v>
      </c>
      <c r="J41" s="19">
        <v>870</v>
      </c>
    </row>
    <row r="42" spans="2:11" ht="15" customHeight="1" x14ac:dyDescent="0.3">
      <c r="B42" s="17" t="s">
        <v>103</v>
      </c>
      <c r="C42" s="18">
        <v>438</v>
      </c>
      <c r="D42" s="18">
        <v>402</v>
      </c>
      <c r="E42" s="18">
        <v>295</v>
      </c>
      <c r="F42" s="18">
        <v>349</v>
      </c>
      <c r="G42" s="18">
        <v>342</v>
      </c>
      <c r="H42" s="19">
        <v>337</v>
      </c>
      <c r="I42" s="19">
        <v>333</v>
      </c>
      <c r="J42" s="19">
        <v>330</v>
      </c>
      <c r="K42" s="20" t="s">
        <v>104</v>
      </c>
    </row>
    <row r="44" spans="2:11" ht="15" customHeight="1" x14ac:dyDescent="0.3">
      <c r="B44" s="6" t="s">
        <v>105</v>
      </c>
      <c r="C44" s="6"/>
      <c r="D44" s="6"/>
      <c r="E44" s="6"/>
      <c r="F44" s="6"/>
      <c r="G44" s="6"/>
      <c r="H44" s="6"/>
      <c r="I44" s="6"/>
      <c r="J44" s="6"/>
      <c r="K44" s="6"/>
    </row>
    <row r="45" spans="2:11" ht="18.75" customHeight="1" x14ac:dyDescent="0.3">
      <c r="B45" s="17" t="s">
        <v>106</v>
      </c>
      <c r="C45" s="25">
        <v>0.122</v>
      </c>
      <c r="K45" s="20" t="s">
        <v>107</v>
      </c>
    </row>
    <row r="46" spans="2:11" ht="18.75" customHeight="1" x14ac:dyDescent="0.3">
      <c r="B46" s="17" t="s">
        <v>108</v>
      </c>
      <c r="C46" s="25">
        <v>5.5E-2</v>
      </c>
      <c r="K46" s="20" t="s">
        <v>109</v>
      </c>
    </row>
    <row r="47" spans="2:11" ht="15" customHeight="1" x14ac:dyDescent="0.3">
      <c r="B47" s="17" t="s">
        <v>110</v>
      </c>
      <c r="C47" s="26">
        <v>127</v>
      </c>
    </row>
    <row r="48" spans="2:11" ht="15" customHeight="1" x14ac:dyDescent="0.3">
      <c r="B48" s="17" t="s">
        <v>111</v>
      </c>
      <c r="C48" s="27">
        <v>4.07</v>
      </c>
    </row>
    <row r="49" spans="2:11" ht="15" customHeight="1" x14ac:dyDescent="0.3">
      <c r="B49" s="17" t="s">
        <v>112</v>
      </c>
      <c r="C49" s="28">
        <v>17.899999999999999</v>
      </c>
    </row>
    <row r="50" spans="2:11" ht="15" customHeight="1" x14ac:dyDescent="0.3">
      <c r="B50" s="17" t="s">
        <v>113</v>
      </c>
      <c r="C50" s="28">
        <v>29.4</v>
      </c>
    </row>
    <row r="51" spans="2:11" ht="15" customHeight="1" x14ac:dyDescent="0.3">
      <c r="B51" s="17" t="s">
        <v>114</v>
      </c>
      <c r="C51" s="29">
        <v>1097</v>
      </c>
      <c r="K51" s="30" t="s">
        <v>115</v>
      </c>
    </row>
  </sheetData>
  <mergeCells count="9">
    <mergeCell ref="B22:K22"/>
    <mergeCell ref="B26:K26"/>
    <mergeCell ref="B31:K31"/>
    <mergeCell ref="B44:K44"/>
    <mergeCell ref="A1:K1"/>
    <mergeCell ref="A2:K2"/>
    <mergeCell ref="B5:K5"/>
    <mergeCell ref="B11:K11"/>
    <mergeCell ref="B17:K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showGridLines="0" tabSelected="1" zoomScaleNormal="100" workbookViewId="0">
      <selection sqref="A1:J1"/>
    </sheetView>
  </sheetViews>
  <sheetFormatPr defaultColWidth="8.6640625" defaultRowHeight="14.4" x14ac:dyDescent="0.3"/>
  <cols>
    <col min="1" max="1" width="3" style="9" customWidth="1"/>
    <col min="2" max="2" width="42" style="9" customWidth="1"/>
    <col min="3" max="10" width="15" style="9" customWidth="1"/>
  </cols>
  <sheetData>
    <row r="1" spans="1:10" ht="24" customHeight="1" x14ac:dyDescent="0.3">
      <c r="A1" s="2" t="s">
        <v>116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3">
      <c r="A2" s="6" t="s">
        <v>117</v>
      </c>
      <c r="B2" s="6"/>
      <c r="C2" s="6"/>
      <c r="D2" s="6"/>
      <c r="E2" s="6"/>
      <c r="F2" s="6"/>
      <c r="G2" s="6"/>
      <c r="H2" s="6"/>
      <c r="I2" s="6"/>
      <c r="J2" s="6"/>
    </row>
    <row r="4" spans="1:10" ht="15" customHeight="1" x14ac:dyDescent="0.3">
      <c r="B4" s="14" t="s">
        <v>118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6" t="s">
        <v>53</v>
      </c>
      <c r="I4" s="16" t="s">
        <v>54</v>
      </c>
      <c r="J4" s="16" t="s">
        <v>55</v>
      </c>
    </row>
    <row r="5" spans="1:10" ht="15" customHeight="1" x14ac:dyDescent="0.3">
      <c r="B5" s="6" t="s">
        <v>119</v>
      </c>
      <c r="C5" s="6"/>
      <c r="D5" s="6"/>
      <c r="E5" s="6"/>
      <c r="F5" s="6"/>
      <c r="G5" s="6"/>
      <c r="H5" s="6"/>
      <c r="I5" s="6"/>
      <c r="J5" s="6"/>
    </row>
    <row r="6" spans="1:10" ht="15" customHeight="1" x14ac:dyDescent="0.3">
      <c r="B6" s="31" t="s">
        <v>120</v>
      </c>
      <c r="C6" s="32">
        <f>Assumptions!C6</f>
        <v>3339</v>
      </c>
      <c r="D6" s="32">
        <f>Assumptions!D6</f>
        <v>4104</v>
      </c>
      <c r="E6" s="32">
        <f>Assumptions!E6</f>
        <v>4312</v>
      </c>
      <c r="F6" s="32">
        <f>Assumptions!F6</f>
        <v>4942</v>
      </c>
      <c r="G6" s="32">
        <f>Assumptions!G6</f>
        <v>5443</v>
      </c>
      <c r="H6" s="32">
        <f>Assumptions!H6</f>
        <v>6097</v>
      </c>
      <c r="I6" s="32">
        <f>Assumptions!I6</f>
        <v>6830</v>
      </c>
      <c r="J6" s="32">
        <f>Assumptions!J6</f>
        <v>7650</v>
      </c>
    </row>
    <row r="7" spans="1:10" ht="15" customHeight="1" x14ac:dyDescent="0.3">
      <c r="B7" s="13" t="s">
        <v>121</v>
      </c>
      <c r="C7" s="33">
        <f>Assumptions!C15</f>
        <v>28</v>
      </c>
      <c r="D7" s="33">
        <f>Assumptions!D15</f>
        <v>26</v>
      </c>
      <c r="E7" s="33">
        <f>Assumptions!E15</f>
        <v>32</v>
      </c>
      <c r="F7" s="33">
        <f>Assumptions!F15</f>
        <v>35</v>
      </c>
      <c r="G7" s="33">
        <f>Assumptions!G15</f>
        <v>30</v>
      </c>
      <c r="H7" s="33">
        <f>Assumptions!H15</f>
        <v>32</v>
      </c>
      <c r="I7" s="33">
        <f>Assumptions!I15</f>
        <v>36</v>
      </c>
      <c r="J7" s="33">
        <f>Assumptions!J15</f>
        <v>40</v>
      </c>
    </row>
    <row r="8" spans="1:10" ht="15" customHeight="1" x14ac:dyDescent="0.3">
      <c r="B8" s="10" t="s">
        <v>122</v>
      </c>
      <c r="C8" s="34">
        <f t="shared" ref="C8:J8" si="0">C6+C7</f>
        <v>3367</v>
      </c>
      <c r="D8" s="34">
        <f t="shared" si="0"/>
        <v>4130</v>
      </c>
      <c r="E8" s="34">
        <f t="shared" si="0"/>
        <v>4344</v>
      </c>
      <c r="F8" s="34">
        <f t="shared" si="0"/>
        <v>4977</v>
      </c>
      <c r="G8" s="34">
        <f t="shared" si="0"/>
        <v>5473</v>
      </c>
      <c r="H8" s="34">
        <f t="shared" si="0"/>
        <v>6129</v>
      </c>
      <c r="I8" s="34">
        <f t="shared" si="0"/>
        <v>6866</v>
      </c>
      <c r="J8" s="34">
        <f t="shared" si="0"/>
        <v>7690</v>
      </c>
    </row>
    <row r="9" spans="1:10" ht="15" customHeight="1" x14ac:dyDescent="0.3">
      <c r="B9" s="13" t="s">
        <v>123</v>
      </c>
      <c r="C9" s="35" t="s">
        <v>124</v>
      </c>
      <c r="D9" s="36">
        <f t="shared" ref="D9:J9" si="1">(D6-C6)/C6</f>
        <v>0.22911051212938005</v>
      </c>
      <c r="E9" s="36">
        <f t="shared" si="1"/>
        <v>5.0682261208576995E-2</v>
      </c>
      <c r="F9" s="36">
        <f t="shared" si="1"/>
        <v>0.1461038961038961</v>
      </c>
      <c r="G9" s="36">
        <f t="shared" si="1"/>
        <v>0.10137596114933226</v>
      </c>
      <c r="H9" s="36">
        <f t="shared" si="1"/>
        <v>0.12015432665809296</v>
      </c>
      <c r="I9" s="36">
        <f t="shared" si="1"/>
        <v>0.12022306052156799</v>
      </c>
      <c r="J9" s="36">
        <f t="shared" si="1"/>
        <v>0.12005856515373353</v>
      </c>
    </row>
    <row r="10" spans="1:10" ht="15" customHeight="1" x14ac:dyDescent="0.3">
      <c r="B10" s="6" t="s">
        <v>125</v>
      </c>
      <c r="C10" s="6"/>
      <c r="D10" s="6"/>
      <c r="E10" s="6"/>
      <c r="F10" s="6"/>
      <c r="G10" s="6"/>
      <c r="H10" s="6"/>
      <c r="I10" s="6"/>
      <c r="J10" s="6"/>
    </row>
    <row r="11" spans="1:10" ht="15" customHeight="1" x14ac:dyDescent="0.3">
      <c r="B11" s="13" t="s">
        <v>126</v>
      </c>
      <c r="C11" s="37">
        <f>C6*(1-Assumptions!C12)</f>
        <v>2617.7760000000003</v>
      </c>
      <c r="D11" s="37">
        <f>D6*(1-Assumptions!D12)</f>
        <v>3119.04</v>
      </c>
      <c r="E11" s="37">
        <f>E6*(1-Assumptions!E12)</f>
        <v>3156.384</v>
      </c>
      <c r="F11" s="37">
        <f>F6*(1-Assumptions!F12)</f>
        <v>3543.4140000000002</v>
      </c>
      <c r="G11" s="37">
        <f>G6*(1-Assumptions!G12)</f>
        <v>3918.96</v>
      </c>
      <c r="H11" s="37">
        <f>H6*(1-Assumptions!H12)</f>
        <v>4328.87</v>
      </c>
      <c r="I11" s="37">
        <f>I6*(1-Assumptions!I12)</f>
        <v>4815.1500000000005</v>
      </c>
      <c r="J11" s="37">
        <f>J6*(1-Assumptions!J12)</f>
        <v>5355</v>
      </c>
    </row>
    <row r="12" spans="1:10" ht="15" customHeight="1" x14ac:dyDescent="0.3">
      <c r="B12" s="13" t="s">
        <v>127</v>
      </c>
      <c r="C12" s="37">
        <f>C6*Assumptions!C13</f>
        <v>297.17099999999999</v>
      </c>
      <c r="D12" s="37">
        <f>D6*Assumptions!D13</f>
        <v>340.63200000000001</v>
      </c>
      <c r="E12" s="37">
        <f>E6*Assumptions!E13</f>
        <v>349.27199999999999</v>
      </c>
      <c r="F12" s="37">
        <f>F6*Assumptions!F13</f>
        <v>390.41800000000001</v>
      </c>
      <c r="G12" s="37">
        <f>G6*Assumptions!G13</f>
        <v>435.44</v>
      </c>
      <c r="H12" s="37">
        <f>H6*Assumptions!H13</f>
        <v>475.56599999999997</v>
      </c>
      <c r="I12" s="37">
        <f>I6*Assumptions!I13</f>
        <v>525.91</v>
      </c>
      <c r="J12" s="37">
        <f>J6*Assumptions!J13</f>
        <v>573.75</v>
      </c>
    </row>
    <row r="13" spans="1:10" ht="15" customHeight="1" x14ac:dyDescent="0.3">
      <c r="B13" s="13" t="s">
        <v>128</v>
      </c>
      <c r="C13" s="37">
        <f>C6*Assumptions!C14</f>
        <v>190.32300000000001</v>
      </c>
      <c r="D13" s="37">
        <f>D6*Assumptions!D14</f>
        <v>217.512</v>
      </c>
      <c r="E13" s="37">
        <f>E6*Assumptions!E14</f>
        <v>258.71999999999997</v>
      </c>
      <c r="F13" s="37">
        <f>F6*Assumptions!F14</f>
        <v>296.52</v>
      </c>
      <c r="G13" s="37">
        <f>G6*Assumptions!G14</f>
        <v>326.58</v>
      </c>
      <c r="H13" s="37">
        <f>H6*Assumptions!H14</f>
        <v>378.01400000000001</v>
      </c>
      <c r="I13" s="37">
        <f>I6*Assumptions!I14</f>
        <v>409.8</v>
      </c>
      <c r="J13" s="37">
        <f>J6*Assumptions!J14</f>
        <v>443.70000000000005</v>
      </c>
    </row>
    <row r="14" spans="1:10" ht="15" customHeight="1" x14ac:dyDescent="0.3">
      <c r="B14" s="31" t="s">
        <v>129</v>
      </c>
      <c r="C14" s="32">
        <f t="shared" ref="C14:J14" si="2">C11+C12+C13</f>
        <v>3105.27</v>
      </c>
      <c r="D14" s="32">
        <f t="shared" si="2"/>
        <v>3677.1840000000002</v>
      </c>
      <c r="E14" s="32">
        <f t="shared" si="2"/>
        <v>3764.3759999999997</v>
      </c>
      <c r="F14" s="32">
        <f t="shared" si="2"/>
        <v>4230.3520000000008</v>
      </c>
      <c r="G14" s="32">
        <f t="shared" si="2"/>
        <v>4680.9799999999996</v>
      </c>
      <c r="H14" s="32">
        <f t="shared" si="2"/>
        <v>5182.45</v>
      </c>
      <c r="I14" s="32">
        <f t="shared" si="2"/>
        <v>5750.8600000000006</v>
      </c>
      <c r="J14" s="32">
        <f t="shared" si="2"/>
        <v>6372.45</v>
      </c>
    </row>
    <row r="15" spans="1:10" ht="15" customHeight="1" x14ac:dyDescent="0.3">
      <c r="B15" s="6" t="s">
        <v>130</v>
      </c>
      <c r="C15" s="6"/>
      <c r="D15" s="6"/>
      <c r="E15" s="6"/>
      <c r="F15" s="6"/>
      <c r="G15" s="6"/>
      <c r="H15" s="6"/>
      <c r="I15" s="6"/>
      <c r="J15" s="6"/>
    </row>
    <row r="16" spans="1:10" ht="15" customHeight="1" x14ac:dyDescent="0.3">
      <c r="B16" s="10" t="s">
        <v>131</v>
      </c>
      <c r="C16" s="34">
        <f t="shared" ref="C16:J16" si="3">C6-C14</f>
        <v>233.73000000000002</v>
      </c>
      <c r="D16" s="34">
        <f t="shared" si="3"/>
        <v>426.8159999999998</v>
      </c>
      <c r="E16" s="34">
        <f t="shared" si="3"/>
        <v>547.62400000000025</v>
      </c>
      <c r="F16" s="34">
        <f t="shared" si="3"/>
        <v>711.64799999999923</v>
      </c>
      <c r="G16" s="34">
        <f t="shared" si="3"/>
        <v>762.02000000000044</v>
      </c>
      <c r="H16" s="34">
        <f t="shared" si="3"/>
        <v>914.55000000000018</v>
      </c>
      <c r="I16" s="34">
        <f t="shared" si="3"/>
        <v>1079.1399999999994</v>
      </c>
      <c r="J16" s="34">
        <f t="shared" si="3"/>
        <v>1277.5500000000002</v>
      </c>
    </row>
    <row r="17" spans="2:10" ht="15" customHeight="1" x14ac:dyDescent="0.3">
      <c r="B17" s="13" t="s">
        <v>132</v>
      </c>
      <c r="C17" s="36">
        <f t="shared" ref="C17:J17" si="4">C16/C6</f>
        <v>7.0000000000000007E-2</v>
      </c>
      <c r="D17" s="36">
        <f t="shared" si="4"/>
        <v>0.10399999999999995</v>
      </c>
      <c r="E17" s="36">
        <f t="shared" si="4"/>
        <v>0.12700000000000006</v>
      </c>
      <c r="F17" s="36">
        <f t="shared" si="4"/>
        <v>0.14399999999999985</v>
      </c>
      <c r="G17" s="36">
        <f t="shared" si="4"/>
        <v>0.14000000000000007</v>
      </c>
      <c r="H17" s="36">
        <f t="shared" si="4"/>
        <v>0.15000000000000002</v>
      </c>
      <c r="I17" s="36">
        <f t="shared" si="4"/>
        <v>0.15799999999999992</v>
      </c>
      <c r="J17" s="36">
        <f t="shared" si="4"/>
        <v>0.16700000000000004</v>
      </c>
    </row>
    <row r="18" spans="2:10" ht="15" customHeight="1" x14ac:dyDescent="0.3">
      <c r="B18" s="13" t="s">
        <v>133</v>
      </c>
      <c r="C18" s="33">
        <f>Assumptions!C18</f>
        <v>113</v>
      </c>
      <c r="D18" s="33">
        <f>Assumptions!D18</f>
        <v>119</v>
      </c>
      <c r="E18" s="33">
        <f>Assumptions!E18</f>
        <v>122</v>
      </c>
      <c r="F18" s="33">
        <f>Assumptions!F18</f>
        <v>129</v>
      </c>
      <c r="G18" s="33">
        <f>Assumptions!G18</f>
        <v>123</v>
      </c>
      <c r="H18" s="33">
        <f>Assumptions!H18</f>
        <v>135</v>
      </c>
      <c r="I18" s="33">
        <f>Assumptions!I18</f>
        <v>150</v>
      </c>
      <c r="J18" s="33">
        <f>Assumptions!J18</f>
        <v>165</v>
      </c>
    </row>
    <row r="19" spans="2:10" ht="15" customHeight="1" x14ac:dyDescent="0.3">
      <c r="B19" s="10" t="s">
        <v>134</v>
      </c>
      <c r="C19" s="34">
        <f t="shared" ref="C19:J19" si="5">C16-C18</f>
        <v>120.73000000000002</v>
      </c>
      <c r="D19" s="34">
        <f t="shared" si="5"/>
        <v>307.8159999999998</v>
      </c>
      <c r="E19" s="34">
        <f t="shared" si="5"/>
        <v>425.62400000000025</v>
      </c>
      <c r="F19" s="34">
        <f t="shared" si="5"/>
        <v>582.64799999999923</v>
      </c>
      <c r="G19" s="34">
        <f t="shared" si="5"/>
        <v>639.02000000000044</v>
      </c>
      <c r="H19" s="34">
        <f t="shared" si="5"/>
        <v>779.55000000000018</v>
      </c>
      <c r="I19" s="34">
        <f t="shared" si="5"/>
        <v>929.13999999999942</v>
      </c>
      <c r="J19" s="34">
        <f t="shared" si="5"/>
        <v>1112.5500000000002</v>
      </c>
    </row>
    <row r="20" spans="2:10" ht="15" customHeight="1" x14ac:dyDescent="0.3">
      <c r="B20" s="13" t="s">
        <v>135</v>
      </c>
      <c r="C20" s="36">
        <f t="shared" ref="C20:J20" si="6">C19/C6</f>
        <v>3.6157532195268051E-2</v>
      </c>
      <c r="D20" s="36">
        <f t="shared" si="6"/>
        <v>7.5003898635477531E-2</v>
      </c>
      <c r="E20" s="36">
        <f t="shared" si="6"/>
        <v>9.8706864564007485E-2</v>
      </c>
      <c r="F20" s="36">
        <f t="shared" si="6"/>
        <v>0.11789720760825562</v>
      </c>
      <c r="G20" s="36">
        <f t="shared" si="6"/>
        <v>0.11740216792210187</v>
      </c>
      <c r="H20" s="36">
        <f t="shared" si="6"/>
        <v>0.12785796293258983</v>
      </c>
      <c r="I20" s="36">
        <f t="shared" si="6"/>
        <v>0.13603806734992671</v>
      </c>
      <c r="J20" s="36">
        <f t="shared" si="6"/>
        <v>0.14543137254901964</v>
      </c>
    </row>
    <row r="21" spans="2:10" ht="15" customHeight="1" x14ac:dyDescent="0.3">
      <c r="B21" s="13" t="s">
        <v>136</v>
      </c>
      <c r="C21" s="33">
        <f>Assumptions!C20</f>
        <v>34</v>
      </c>
      <c r="D21" s="33">
        <f>Assumptions!D20</f>
        <v>33</v>
      </c>
      <c r="E21" s="33">
        <f>Assumptions!E20</f>
        <v>30</v>
      </c>
      <c r="F21" s="33">
        <f>Assumptions!F20</f>
        <v>27</v>
      </c>
      <c r="G21" s="33">
        <f>Assumptions!G20</f>
        <v>24</v>
      </c>
      <c r="H21" s="33">
        <f>Assumptions!H20</f>
        <v>24</v>
      </c>
      <c r="I21" s="33">
        <f>Assumptions!I20</f>
        <v>21</v>
      </c>
      <c r="J21" s="33">
        <f>Assumptions!J20</f>
        <v>18</v>
      </c>
    </row>
    <row r="22" spans="2:10" ht="15" customHeight="1" x14ac:dyDescent="0.3">
      <c r="B22" s="13" t="s">
        <v>137</v>
      </c>
      <c r="C22" s="33">
        <f>Assumptions!C24</f>
        <v>0</v>
      </c>
      <c r="D22" s="33">
        <f>Assumptions!D24</f>
        <v>0</v>
      </c>
      <c r="E22" s="33">
        <f>Assumptions!E24</f>
        <v>0</v>
      </c>
      <c r="F22" s="33">
        <f>Assumptions!F24</f>
        <v>0</v>
      </c>
      <c r="G22" s="33">
        <f>Assumptions!G24</f>
        <v>14</v>
      </c>
      <c r="H22" s="33">
        <f>Assumptions!H24</f>
        <v>0</v>
      </c>
      <c r="I22" s="33">
        <f>Assumptions!I24</f>
        <v>0</v>
      </c>
      <c r="J22" s="33">
        <f>Assumptions!J24</f>
        <v>0</v>
      </c>
    </row>
    <row r="23" spans="2:10" ht="15" customHeight="1" x14ac:dyDescent="0.3">
      <c r="B23" s="10" t="s">
        <v>138</v>
      </c>
      <c r="C23" s="34">
        <f t="shared" ref="C23:J23" si="7">C19-C21-C22+C7</f>
        <v>114.73000000000002</v>
      </c>
      <c r="D23" s="34">
        <f t="shared" si="7"/>
        <v>300.8159999999998</v>
      </c>
      <c r="E23" s="34">
        <f t="shared" si="7"/>
        <v>427.62400000000025</v>
      </c>
      <c r="F23" s="34">
        <f t="shared" si="7"/>
        <v>590.64799999999923</v>
      </c>
      <c r="G23" s="34">
        <f t="shared" si="7"/>
        <v>631.02000000000044</v>
      </c>
      <c r="H23" s="34">
        <f t="shared" si="7"/>
        <v>787.55000000000018</v>
      </c>
      <c r="I23" s="34">
        <f t="shared" si="7"/>
        <v>944.13999999999942</v>
      </c>
      <c r="J23" s="34">
        <f t="shared" si="7"/>
        <v>1134.5500000000002</v>
      </c>
    </row>
    <row r="24" spans="2:10" ht="15" customHeight="1" x14ac:dyDescent="0.3">
      <c r="B24" s="13" t="s">
        <v>139</v>
      </c>
      <c r="C24" s="36">
        <f t="shared" ref="C24:J24" si="8">C23/C6</f>
        <v>3.4360587002096439E-2</v>
      </c>
      <c r="D24" s="36">
        <f t="shared" si="8"/>
        <v>7.3298245614035043E-2</v>
      </c>
      <c r="E24" s="36">
        <f t="shared" si="8"/>
        <v>9.91706864564008E-2</v>
      </c>
      <c r="F24" s="36">
        <f t="shared" si="8"/>
        <v>0.11951598543099944</v>
      </c>
      <c r="G24" s="36">
        <f t="shared" si="8"/>
        <v>0.1159323902259784</v>
      </c>
      <c r="H24" s="36">
        <f t="shared" si="8"/>
        <v>0.12917008364769561</v>
      </c>
      <c r="I24" s="36">
        <f t="shared" si="8"/>
        <v>0.13823426061493402</v>
      </c>
      <c r="J24" s="36">
        <f t="shared" si="8"/>
        <v>0.14830718954248368</v>
      </c>
    </row>
    <row r="25" spans="2:10" ht="15" customHeight="1" x14ac:dyDescent="0.3">
      <c r="B25" s="13" t="s">
        <v>140</v>
      </c>
      <c r="C25" s="37">
        <f>IF(C23&gt;0,C23*Assumptions!C23,0)</f>
        <v>-37.860900000000008</v>
      </c>
      <c r="D25" s="37">
        <f>IF(D23&gt;0,D23*Assumptions!D23,0)</f>
        <v>150.4079999999999</v>
      </c>
      <c r="E25" s="37">
        <f>IF(E23&gt;0,E23*Assumptions!E23,0)</f>
        <v>102.62976000000006</v>
      </c>
      <c r="F25" s="37">
        <f>IF(F23&gt;0,F23*Assumptions!F23,0)</f>
        <v>147.66199999999981</v>
      </c>
      <c r="G25" s="37">
        <f>IF(G23&gt;0,G23*Assumptions!G23,0)</f>
        <v>157.75500000000011</v>
      </c>
      <c r="H25" s="37">
        <f>IF(H23&gt;0,H23*Assumptions!H23,0)</f>
        <v>204.76300000000006</v>
      </c>
      <c r="I25" s="37">
        <f>IF(I23&gt;0,I23*Assumptions!I23,0)</f>
        <v>245.47639999999987</v>
      </c>
      <c r="J25" s="37">
        <f>IF(J23&gt;0,J23*Assumptions!J23,0)</f>
        <v>294.98300000000006</v>
      </c>
    </row>
    <row r="26" spans="2:10" ht="15" customHeight="1" x14ac:dyDescent="0.3">
      <c r="B26" s="14" t="s">
        <v>141</v>
      </c>
      <c r="C26" s="38">
        <f t="shared" ref="C26:J26" si="9">C23-C25</f>
        <v>152.59090000000003</v>
      </c>
      <c r="D26" s="38">
        <f t="shared" si="9"/>
        <v>150.4079999999999</v>
      </c>
      <c r="E26" s="38">
        <f t="shared" si="9"/>
        <v>324.99424000000022</v>
      </c>
      <c r="F26" s="38">
        <f t="shared" si="9"/>
        <v>442.98599999999942</v>
      </c>
      <c r="G26" s="38">
        <f t="shared" si="9"/>
        <v>473.26500000000033</v>
      </c>
      <c r="H26" s="38">
        <f t="shared" si="9"/>
        <v>582.78700000000015</v>
      </c>
      <c r="I26" s="38">
        <f t="shared" si="9"/>
        <v>698.66359999999952</v>
      </c>
      <c r="J26" s="38">
        <f t="shared" si="9"/>
        <v>839.56700000000012</v>
      </c>
    </row>
    <row r="27" spans="2:10" ht="15" customHeight="1" x14ac:dyDescent="0.3">
      <c r="B27" s="13" t="s">
        <v>142</v>
      </c>
      <c r="C27" s="36">
        <f t="shared" ref="C27:J27" si="10">C26/C6</f>
        <v>4.5699580712788269E-2</v>
      </c>
      <c r="D27" s="36">
        <f t="shared" si="10"/>
        <v>3.6649122807017522E-2</v>
      </c>
      <c r="E27" s="36">
        <f t="shared" si="10"/>
        <v>7.5369721706864609E-2</v>
      </c>
      <c r="F27" s="36">
        <f t="shared" si="10"/>
        <v>8.9636989073249573E-2</v>
      </c>
      <c r="G27" s="36">
        <f t="shared" si="10"/>
        <v>8.6949292669483799E-2</v>
      </c>
      <c r="H27" s="36">
        <f t="shared" si="10"/>
        <v>9.5585861899294758E-2</v>
      </c>
      <c r="I27" s="36">
        <f t="shared" si="10"/>
        <v>0.10229335285505117</v>
      </c>
      <c r="J27" s="36">
        <f t="shared" si="10"/>
        <v>0.10974732026143792</v>
      </c>
    </row>
    <row r="28" spans="2:10" ht="15" customHeight="1" x14ac:dyDescent="0.3">
      <c r="B28" s="6" t="s">
        <v>143</v>
      </c>
      <c r="C28" s="6"/>
      <c r="D28" s="6"/>
      <c r="E28" s="6"/>
      <c r="F28" s="6"/>
      <c r="G28" s="6"/>
      <c r="H28" s="6"/>
      <c r="I28" s="6"/>
      <c r="J28" s="6"/>
    </row>
    <row r="29" spans="2:10" ht="15" customHeight="1" x14ac:dyDescent="0.3">
      <c r="B29" s="13" t="s">
        <v>144</v>
      </c>
      <c r="C29" s="39">
        <f>C26/Assumptions!C48</f>
        <v>37.491621621621626</v>
      </c>
      <c r="D29" s="39">
        <f>D26/Assumptions!C48</f>
        <v>36.95528255528253</v>
      </c>
      <c r="E29" s="39">
        <f>E26/Assumptions!C48</f>
        <v>79.851164619164663</v>
      </c>
      <c r="F29" s="39">
        <f>F26/Assumptions!C48</f>
        <v>108.8417690417689</v>
      </c>
      <c r="G29" s="39">
        <f>G26/Assumptions!C48</f>
        <v>116.28132678132685</v>
      </c>
      <c r="H29" s="39">
        <f>H26/Assumptions!C48</f>
        <v>143.19090909090912</v>
      </c>
      <c r="I29" s="39">
        <f>I26/Assumptions!C48</f>
        <v>171.66181818181806</v>
      </c>
      <c r="J29" s="39">
        <f>J26/Assumptions!C48</f>
        <v>206.28181818181821</v>
      </c>
    </row>
  </sheetData>
  <mergeCells count="6">
    <mergeCell ref="B28:J28"/>
    <mergeCell ref="A1:J1"/>
    <mergeCell ref="A2:J2"/>
    <mergeCell ref="B5:J5"/>
    <mergeCell ref="B10:J10"/>
    <mergeCell ref="B15:J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showGridLines="0" zoomScaleNormal="100" workbookViewId="0">
      <selection sqref="A1:J1"/>
    </sheetView>
  </sheetViews>
  <sheetFormatPr defaultColWidth="8.6640625" defaultRowHeight="14.4" x14ac:dyDescent="0.3"/>
  <cols>
    <col min="1" max="1" width="3" style="9" customWidth="1"/>
    <col min="2" max="2" width="42" style="9" customWidth="1"/>
    <col min="3" max="10" width="15" style="9" customWidth="1"/>
  </cols>
  <sheetData>
    <row r="1" spans="1:10" ht="15" customHeight="1" x14ac:dyDescent="0.3">
      <c r="A1" s="2" t="s">
        <v>145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3">
      <c r="A2" s="6" t="s">
        <v>146</v>
      </c>
      <c r="B2" s="6"/>
      <c r="C2" s="6"/>
      <c r="D2" s="6"/>
      <c r="E2" s="6"/>
      <c r="F2" s="6"/>
      <c r="G2" s="6"/>
      <c r="H2" s="6"/>
      <c r="I2" s="6"/>
      <c r="J2" s="6"/>
    </row>
    <row r="4" spans="1:10" ht="15" customHeight="1" x14ac:dyDescent="0.3">
      <c r="B4" s="14" t="s">
        <v>118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6" t="s">
        <v>53</v>
      </c>
      <c r="I4" s="16" t="s">
        <v>54</v>
      </c>
      <c r="J4" s="16" t="s">
        <v>55</v>
      </c>
    </row>
    <row r="5" spans="1:10" ht="15" customHeight="1" x14ac:dyDescent="0.3">
      <c r="B5" s="6" t="s">
        <v>147</v>
      </c>
      <c r="C5" s="6"/>
      <c r="D5" s="6"/>
      <c r="E5" s="6"/>
      <c r="F5" s="6"/>
      <c r="G5" s="6"/>
      <c r="H5" s="6"/>
      <c r="I5" s="6"/>
      <c r="J5" s="6"/>
    </row>
    <row r="6" spans="1:10" ht="15" customHeight="1" x14ac:dyDescent="0.3">
      <c r="B6" s="13" t="s">
        <v>148</v>
      </c>
      <c r="C6" s="37">
        <f>Assumptions!C32</f>
        <v>41</v>
      </c>
      <c r="D6" s="37">
        <f>Assumptions!D32</f>
        <v>41</v>
      </c>
      <c r="E6" s="37">
        <f>Assumptions!E32</f>
        <v>41</v>
      </c>
      <c r="F6" s="37">
        <f>Assumptions!F32</f>
        <v>41</v>
      </c>
      <c r="G6" s="37">
        <f>Assumptions!G32</f>
        <v>41</v>
      </c>
      <c r="H6" s="37">
        <f>Assumptions!H32</f>
        <v>41</v>
      </c>
      <c r="I6" s="37">
        <f>Assumptions!I32</f>
        <v>41</v>
      </c>
      <c r="J6" s="37">
        <f>Assumptions!J32</f>
        <v>41</v>
      </c>
    </row>
    <row r="7" spans="1:10" ht="15" customHeight="1" x14ac:dyDescent="0.3">
      <c r="B7" s="13" t="s">
        <v>91</v>
      </c>
      <c r="C7" s="37">
        <f>Assumptions!C33</f>
        <v>596</v>
      </c>
      <c r="D7" s="37">
        <f>Assumptions!D33</f>
        <v>615</v>
      </c>
      <c r="E7" s="37">
        <f>Assumptions!E33</f>
        <v>685</v>
      </c>
      <c r="F7" s="37">
        <f>Assumptions!F33</f>
        <v>817</v>
      </c>
      <c r="G7" s="37">
        <f>Assumptions!G33</f>
        <v>893</v>
      </c>
      <c r="H7" s="37">
        <f>Assumptions!H33</f>
        <v>1074</v>
      </c>
      <c r="I7" s="37">
        <f>Assumptions!I33</f>
        <v>1305</v>
      </c>
      <c r="J7" s="37">
        <f>Assumptions!J33</f>
        <v>1601</v>
      </c>
    </row>
    <row r="8" spans="1:10" ht="15" customHeight="1" x14ac:dyDescent="0.3">
      <c r="B8" s="10" t="s">
        <v>149</v>
      </c>
      <c r="C8" s="34">
        <f t="shared" ref="C8:J8" si="0">C6+C7</f>
        <v>637</v>
      </c>
      <c r="D8" s="34">
        <f t="shared" si="0"/>
        <v>656</v>
      </c>
      <c r="E8" s="34">
        <f t="shared" si="0"/>
        <v>726</v>
      </c>
      <c r="F8" s="34">
        <f t="shared" si="0"/>
        <v>858</v>
      </c>
      <c r="G8" s="34">
        <f t="shared" si="0"/>
        <v>934</v>
      </c>
      <c r="H8" s="34">
        <f t="shared" si="0"/>
        <v>1115</v>
      </c>
      <c r="I8" s="34">
        <f t="shared" si="0"/>
        <v>1346</v>
      </c>
      <c r="J8" s="34">
        <f t="shared" si="0"/>
        <v>1642</v>
      </c>
    </row>
    <row r="9" spans="1:10" ht="15" customHeight="1" x14ac:dyDescent="0.3">
      <c r="B9" s="13" t="s">
        <v>93</v>
      </c>
      <c r="C9" s="37">
        <f>Assumptions!C34</f>
        <v>188</v>
      </c>
      <c r="D9" s="37">
        <f>Assumptions!D34</f>
        <v>168</v>
      </c>
      <c r="E9" s="37">
        <f>Assumptions!E34</f>
        <v>50</v>
      </c>
      <c r="F9" s="37">
        <f>Assumptions!F34</f>
        <v>130</v>
      </c>
      <c r="G9" s="37">
        <f>Assumptions!G34</f>
        <v>80</v>
      </c>
      <c r="H9" s="37">
        <f>Assumptions!H34</f>
        <v>70</v>
      </c>
      <c r="I9" s="37">
        <f>Assumptions!I34</f>
        <v>60</v>
      </c>
      <c r="J9" s="37">
        <f>Assumptions!J34</f>
        <v>50</v>
      </c>
    </row>
    <row r="10" spans="1:10" ht="15" customHeight="1" x14ac:dyDescent="0.3">
      <c r="B10" s="13" t="s">
        <v>150</v>
      </c>
      <c r="C10" s="37">
        <f>Assumptions!C42</f>
        <v>438</v>
      </c>
      <c r="D10" s="37">
        <f>Assumptions!D42</f>
        <v>402</v>
      </c>
      <c r="E10" s="37">
        <f>Assumptions!E42</f>
        <v>295</v>
      </c>
      <c r="F10" s="37">
        <f>Assumptions!F42</f>
        <v>349</v>
      </c>
      <c r="G10" s="37">
        <f>Assumptions!G42</f>
        <v>342</v>
      </c>
      <c r="H10" s="37">
        <f>Assumptions!H42</f>
        <v>337</v>
      </c>
      <c r="I10" s="37">
        <f>Assumptions!I42</f>
        <v>333</v>
      </c>
      <c r="J10" s="37">
        <f>Assumptions!J42</f>
        <v>330</v>
      </c>
    </row>
    <row r="11" spans="1:10" ht="15" customHeight="1" x14ac:dyDescent="0.3">
      <c r="B11" s="31" t="s">
        <v>151</v>
      </c>
      <c r="C11" s="32">
        <f t="shared" ref="C11:J11" si="1">C9+C10</f>
        <v>626</v>
      </c>
      <c r="D11" s="32">
        <f t="shared" si="1"/>
        <v>570</v>
      </c>
      <c r="E11" s="32">
        <f t="shared" si="1"/>
        <v>345</v>
      </c>
      <c r="F11" s="32">
        <f t="shared" si="1"/>
        <v>479</v>
      </c>
      <c r="G11" s="32">
        <f t="shared" si="1"/>
        <v>422</v>
      </c>
      <c r="H11" s="32">
        <f t="shared" si="1"/>
        <v>407</v>
      </c>
      <c r="I11" s="32">
        <f t="shared" si="1"/>
        <v>393</v>
      </c>
      <c r="J11" s="32">
        <f t="shared" si="1"/>
        <v>380</v>
      </c>
    </row>
    <row r="12" spans="1:10" ht="15" customHeight="1" x14ac:dyDescent="0.3">
      <c r="B12" s="13" t="s">
        <v>94</v>
      </c>
      <c r="C12" s="37">
        <f>Assumptions!C35</f>
        <v>169</v>
      </c>
      <c r="D12" s="37">
        <f>Assumptions!D35</f>
        <v>180</v>
      </c>
      <c r="E12" s="37">
        <f>Assumptions!E35</f>
        <v>112</v>
      </c>
      <c r="F12" s="37">
        <f>Assumptions!F35</f>
        <v>119</v>
      </c>
      <c r="G12" s="37">
        <f>Assumptions!G35</f>
        <v>84</v>
      </c>
      <c r="H12" s="37">
        <f>Assumptions!H35</f>
        <v>90</v>
      </c>
      <c r="I12" s="37">
        <f>Assumptions!I35</f>
        <v>80</v>
      </c>
      <c r="J12" s="37">
        <f>Assumptions!J35</f>
        <v>70</v>
      </c>
    </row>
    <row r="13" spans="1:10" ht="15" customHeight="1" x14ac:dyDescent="0.3">
      <c r="B13" s="13" t="s">
        <v>152</v>
      </c>
      <c r="C13" s="37">
        <f>'P&amp;L'!C11*Assumptions!C29/365</f>
        <v>1039.9384109589041</v>
      </c>
      <c r="D13" s="37">
        <f>'P&amp;L'!D11*Assumptions!D29/365</f>
        <v>1016.8924931506849</v>
      </c>
      <c r="E13" s="37">
        <f>'P&amp;L'!E11*Assumptions!E29/365</f>
        <v>1184.7249534246575</v>
      </c>
      <c r="F13" s="37">
        <f>'P&amp;L'!F11*Assumptions!F29/365</f>
        <v>1097.0021424657534</v>
      </c>
      <c r="G13" s="37">
        <f>'P&amp;L'!G11*Assumptions!G29/365</f>
        <v>1234.7408219178083</v>
      </c>
      <c r="H13" s="37">
        <f>'P&amp;L'!H11*Assumptions!H29/365</f>
        <v>1363.8905479452055</v>
      </c>
      <c r="I13" s="37">
        <f>'P&amp;L'!I11*Assumptions!I29/365</f>
        <v>1517.1020547945209</v>
      </c>
      <c r="J13" s="37">
        <f>'P&amp;L'!J11*Assumptions!J29/365</f>
        <v>1687.1917808219177</v>
      </c>
    </row>
    <row r="14" spans="1:10" ht="15" customHeight="1" x14ac:dyDescent="0.3">
      <c r="B14" s="13" t="s">
        <v>102</v>
      </c>
      <c r="C14" s="37">
        <f>Assumptions!C41</f>
        <v>381</v>
      </c>
      <c r="D14" s="37">
        <f>Assumptions!D41</f>
        <v>437</v>
      </c>
      <c r="E14" s="37">
        <f>Assumptions!E41</f>
        <v>495</v>
      </c>
      <c r="F14" s="37">
        <f>Assumptions!F41</f>
        <v>654</v>
      </c>
      <c r="G14" s="37">
        <f>Assumptions!G41</f>
        <v>669</v>
      </c>
      <c r="H14" s="37">
        <f>Assumptions!H41</f>
        <v>730</v>
      </c>
      <c r="I14" s="37">
        <f>Assumptions!I41</f>
        <v>800</v>
      </c>
      <c r="J14" s="37">
        <f>Assumptions!J41</f>
        <v>870</v>
      </c>
    </row>
    <row r="15" spans="1:10" ht="15" customHeight="1" x14ac:dyDescent="0.3">
      <c r="B15" s="31" t="s">
        <v>153</v>
      </c>
      <c r="C15" s="32">
        <f t="shared" ref="C15:J15" si="2">C12+C13+C14</f>
        <v>1589.9384109589041</v>
      </c>
      <c r="D15" s="32">
        <f t="shared" si="2"/>
        <v>1633.8924931506849</v>
      </c>
      <c r="E15" s="32">
        <f t="shared" si="2"/>
        <v>1791.7249534246575</v>
      </c>
      <c r="F15" s="32">
        <f t="shared" si="2"/>
        <v>1870.0021424657534</v>
      </c>
      <c r="G15" s="32">
        <f t="shared" si="2"/>
        <v>1987.7408219178083</v>
      </c>
      <c r="H15" s="32">
        <f t="shared" si="2"/>
        <v>2183.8905479452055</v>
      </c>
      <c r="I15" s="32">
        <f t="shared" si="2"/>
        <v>2397.1020547945209</v>
      </c>
      <c r="J15" s="32">
        <f t="shared" si="2"/>
        <v>2627.1917808219177</v>
      </c>
    </row>
    <row r="16" spans="1:10" ht="15" customHeight="1" x14ac:dyDescent="0.3">
      <c r="B16" s="14" t="s">
        <v>154</v>
      </c>
      <c r="C16" s="38">
        <f t="shared" ref="C16:J16" si="3">C8+C11+C15</f>
        <v>2852.9384109589041</v>
      </c>
      <c r="D16" s="38">
        <f t="shared" si="3"/>
        <v>2859.8924931506849</v>
      </c>
      <c r="E16" s="38">
        <f t="shared" si="3"/>
        <v>2862.7249534246575</v>
      </c>
      <c r="F16" s="38">
        <f t="shared" si="3"/>
        <v>3207.0021424657534</v>
      </c>
      <c r="G16" s="38">
        <f t="shared" si="3"/>
        <v>3343.7408219178083</v>
      </c>
      <c r="H16" s="38">
        <f t="shared" si="3"/>
        <v>3705.8905479452055</v>
      </c>
      <c r="I16" s="38">
        <f t="shared" si="3"/>
        <v>4136.1020547945209</v>
      </c>
      <c r="J16" s="38">
        <f t="shared" si="3"/>
        <v>4649.1917808219177</v>
      </c>
    </row>
    <row r="18" spans="2:10" ht="15" customHeight="1" x14ac:dyDescent="0.3">
      <c r="B18" s="6" t="s">
        <v>155</v>
      </c>
      <c r="C18" s="6"/>
      <c r="D18" s="6"/>
      <c r="E18" s="6"/>
      <c r="F18" s="6"/>
      <c r="G18" s="6"/>
      <c r="H18" s="6"/>
      <c r="I18" s="6"/>
      <c r="J18" s="6"/>
    </row>
    <row r="19" spans="2:10" ht="15" customHeight="1" x14ac:dyDescent="0.3">
      <c r="B19" s="13" t="s">
        <v>95</v>
      </c>
      <c r="C19" s="37">
        <f>Assumptions!C36</f>
        <v>672</v>
      </c>
      <c r="D19" s="37">
        <f>Assumptions!D36</f>
        <v>669</v>
      </c>
      <c r="E19" s="37">
        <f>Assumptions!E36</f>
        <v>606</v>
      </c>
      <c r="F19" s="37">
        <f>Assumptions!F36</f>
        <v>671</v>
      </c>
      <c r="G19" s="37">
        <f>Assumptions!G36</f>
        <v>651</v>
      </c>
      <c r="H19" s="37">
        <f>Assumptions!H36</f>
        <v>703</v>
      </c>
      <c r="I19" s="37">
        <f>Assumptions!I36</f>
        <v>803</v>
      </c>
      <c r="J19" s="37">
        <f>Assumptions!J36</f>
        <v>908</v>
      </c>
    </row>
    <row r="20" spans="2:10" ht="15" customHeight="1" x14ac:dyDescent="0.3">
      <c r="B20" s="13" t="s">
        <v>156</v>
      </c>
      <c r="C20" s="37">
        <f>Assumptions!C37</f>
        <v>251</v>
      </c>
      <c r="D20" s="37">
        <f>Assumptions!D37</f>
        <v>210</v>
      </c>
      <c r="E20" s="37">
        <f>Assumptions!E37</f>
        <v>311</v>
      </c>
      <c r="F20" s="37">
        <f>Assumptions!F37</f>
        <v>321</v>
      </c>
      <c r="G20" s="37">
        <f>Assumptions!G37</f>
        <v>347</v>
      </c>
      <c r="H20" s="37">
        <f>Assumptions!H37</f>
        <v>360</v>
      </c>
      <c r="I20" s="37">
        <f>Assumptions!I37</f>
        <v>395</v>
      </c>
      <c r="J20" s="37">
        <f>Assumptions!J37</f>
        <v>430</v>
      </c>
    </row>
    <row r="21" spans="2:10" ht="15" customHeight="1" x14ac:dyDescent="0.3">
      <c r="B21" s="13" t="s">
        <v>157</v>
      </c>
      <c r="C21" s="18">
        <v>33</v>
      </c>
      <c r="D21" s="18">
        <v>38</v>
      </c>
      <c r="E21" s="18">
        <v>31</v>
      </c>
      <c r="F21" s="18">
        <v>27</v>
      </c>
      <c r="G21" s="18">
        <v>36</v>
      </c>
      <c r="H21" s="18">
        <v>33</v>
      </c>
      <c r="I21" s="18">
        <v>30</v>
      </c>
      <c r="J21" s="18">
        <v>27</v>
      </c>
    </row>
    <row r="22" spans="2:10" ht="15" customHeight="1" x14ac:dyDescent="0.3">
      <c r="B22" s="31" t="s">
        <v>158</v>
      </c>
      <c r="C22" s="32">
        <f t="shared" ref="C22:J22" si="4">C19+C20+C21</f>
        <v>956</v>
      </c>
      <c r="D22" s="32">
        <f t="shared" si="4"/>
        <v>917</v>
      </c>
      <c r="E22" s="32">
        <f t="shared" si="4"/>
        <v>948</v>
      </c>
      <c r="F22" s="32">
        <f t="shared" si="4"/>
        <v>1019</v>
      </c>
      <c r="G22" s="32">
        <f t="shared" si="4"/>
        <v>1034</v>
      </c>
      <c r="H22" s="32">
        <f t="shared" si="4"/>
        <v>1096</v>
      </c>
      <c r="I22" s="32">
        <f t="shared" si="4"/>
        <v>1228</v>
      </c>
      <c r="J22" s="32">
        <f t="shared" si="4"/>
        <v>1365</v>
      </c>
    </row>
    <row r="23" spans="2:10" ht="15" customHeight="1" x14ac:dyDescent="0.3">
      <c r="B23" s="13" t="s">
        <v>159</v>
      </c>
      <c r="C23" s="37">
        <f>'P&amp;L'!C11*Assumptions!C28/365</f>
        <v>745.88686027397273</v>
      </c>
      <c r="D23" s="37">
        <f>'P&amp;L'!D11*Assumptions!D28/365</f>
        <v>709.26115068493152</v>
      </c>
      <c r="E23" s="37">
        <f>'P&amp;L'!E11*Assumptions!E28/365</f>
        <v>665.86730958904104</v>
      </c>
      <c r="F23" s="37">
        <f>'P&amp;L'!F11*Assumptions!F28/365</f>
        <v>786.34666849315079</v>
      </c>
      <c r="G23" s="37">
        <f>'P&amp;L'!G11*Assumptions!G28/365</f>
        <v>858.95013698630135</v>
      </c>
      <c r="H23" s="37">
        <f>'P&amp;L'!H11*Assumptions!H28/365</f>
        <v>936.93350684931499</v>
      </c>
      <c r="I23" s="37">
        <f>'P&amp;L'!I11*Assumptions!I28/365</f>
        <v>1028.9909589041097</v>
      </c>
      <c r="J23" s="37">
        <f>'P&amp;L'!J11*Assumptions!J28/365</f>
        <v>1129.6849315068494</v>
      </c>
    </row>
    <row r="24" spans="2:10" ht="15" customHeight="1" x14ac:dyDescent="0.3">
      <c r="B24" s="13" t="s">
        <v>160</v>
      </c>
      <c r="C24" s="37">
        <f>'P&amp;L'!C6*Assumptions!C27/365</f>
        <v>292.73424657534247</v>
      </c>
      <c r="D24" s="37">
        <f>'P&amp;L'!D6*Assumptions!D27/365</f>
        <v>393.53424657534248</v>
      </c>
      <c r="E24" s="37">
        <f>'P&amp;L'!E6*Assumptions!E27/365</f>
        <v>437.10684931506847</v>
      </c>
      <c r="F24" s="37">
        <f>'P&amp;L'!F6*Assumptions!F27/365</f>
        <v>406.1917808219178</v>
      </c>
      <c r="G24" s="37">
        <f>'P&amp;L'!G6*Assumptions!G27/365</f>
        <v>447.36986301369865</v>
      </c>
      <c r="H24" s="37">
        <f>'P&amp;L'!H6*Assumptions!H27/365</f>
        <v>501.1232876712329</v>
      </c>
      <c r="I24" s="37">
        <f>'P&amp;L'!I6*Assumptions!I27/365</f>
        <v>542.65753424657532</v>
      </c>
      <c r="J24" s="37">
        <f>'P&amp;L'!J6*Assumptions!J27/365</f>
        <v>607.80821917808214</v>
      </c>
    </row>
    <row r="25" spans="2:10" ht="15" customHeight="1" x14ac:dyDescent="0.3">
      <c r="B25" s="13" t="s">
        <v>161</v>
      </c>
      <c r="C25" s="37">
        <f>Assumptions!C38</f>
        <v>72</v>
      </c>
      <c r="D25" s="37">
        <f>Assumptions!D38</f>
        <v>65</v>
      </c>
      <c r="E25" s="37">
        <f>Assumptions!E38</f>
        <v>92</v>
      </c>
      <c r="F25" s="37">
        <f>Assumptions!F38</f>
        <v>71</v>
      </c>
      <c r="G25" s="37">
        <f>Assumptions!G38</f>
        <v>65</v>
      </c>
      <c r="H25" s="37">
        <f>Assumptions!H38</f>
        <v>82</v>
      </c>
      <c r="I25" s="37">
        <f>Assumptions!I38</f>
        <v>166</v>
      </c>
      <c r="J25" s="37">
        <f>Assumptions!J38</f>
        <v>306</v>
      </c>
    </row>
    <row r="26" spans="2:10" ht="15" customHeight="1" x14ac:dyDescent="0.3">
      <c r="B26" s="13" t="s">
        <v>100</v>
      </c>
      <c r="C26" s="37">
        <f>Assumptions!C39</f>
        <v>90</v>
      </c>
      <c r="D26" s="37">
        <f>Assumptions!D39</f>
        <v>120</v>
      </c>
      <c r="E26" s="37">
        <f>Assumptions!E39</f>
        <v>130</v>
      </c>
      <c r="F26" s="37">
        <f>Assumptions!F39</f>
        <v>145</v>
      </c>
      <c r="G26" s="37">
        <f>Assumptions!G39</f>
        <v>155</v>
      </c>
      <c r="H26" s="37">
        <f>Assumptions!H39</f>
        <v>170</v>
      </c>
      <c r="I26" s="37">
        <f>Assumptions!I39</f>
        <v>200</v>
      </c>
      <c r="J26" s="37">
        <f>Assumptions!J39</f>
        <v>250</v>
      </c>
    </row>
    <row r="27" spans="2:10" ht="15" customHeight="1" x14ac:dyDescent="0.3">
      <c r="B27" s="13" t="s">
        <v>101</v>
      </c>
      <c r="C27" s="37">
        <f>Assumptions!C40</f>
        <v>584</v>
      </c>
      <c r="D27" s="37">
        <f>Assumptions!D40</f>
        <v>583</v>
      </c>
      <c r="E27" s="37">
        <f>Assumptions!E40</f>
        <v>484</v>
      </c>
      <c r="F27" s="37">
        <f>Assumptions!F40</f>
        <v>549</v>
      </c>
      <c r="G27" s="37">
        <f>Assumptions!G40</f>
        <v>463</v>
      </c>
      <c r="H27" s="37">
        <f>Assumptions!H40</f>
        <v>434</v>
      </c>
      <c r="I27" s="37">
        <f>Assumptions!I40</f>
        <v>386</v>
      </c>
      <c r="J27" s="37">
        <f>Assumptions!J40</f>
        <v>344</v>
      </c>
    </row>
    <row r="28" spans="2:10" ht="15" customHeight="1" x14ac:dyDescent="0.3">
      <c r="B28" s="31" t="s">
        <v>162</v>
      </c>
      <c r="C28" s="32">
        <f t="shared" ref="C28:J28" si="5">C23+C24+C25+C26+C27</f>
        <v>1784.6211068493153</v>
      </c>
      <c r="D28" s="32">
        <f t="shared" si="5"/>
        <v>1870.7953972602741</v>
      </c>
      <c r="E28" s="32">
        <f t="shared" si="5"/>
        <v>1808.9741589041096</v>
      </c>
      <c r="F28" s="32">
        <f t="shared" si="5"/>
        <v>1957.5384493150686</v>
      </c>
      <c r="G28" s="32">
        <f t="shared" si="5"/>
        <v>1989.32</v>
      </c>
      <c r="H28" s="32">
        <f t="shared" si="5"/>
        <v>2124.056794520548</v>
      </c>
      <c r="I28" s="32">
        <f t="shared" si="5"/>
        <v>2323.6484931506848</v>
      </c>
      <c r="J28" s="32">
        <f t="shared" si="5"/>
        <v>2637.4931506849316</v>
      </c>
    </row>
    <row r="29" spans="2:10" ht="15" customHeight="1" x14ac:dyDescent="0.3">
      <c r="B29" s="14" t="s">
        <v>163</v>
      </c>
      <c r="C29" s="38">
        <f t="shared" ref="C29:J29" si="6">C22+C28</f>
        <v>2740.6211068493153</v>
      </c>
      <c r="D29" s="38">
        <f t="shared" si="6"/>
        <v>2787.7953972602741</v>
      </c>
      <c r="E29" s="38">
        <f t="shared" si="6"/>
        <v>2756.9741589041096</v>
      </c>
      <c r="F29" s="38">
        <f t="shared" si="6"/>
        <v>2976.5384493150686</v>
      </c>
      <c r="G29" s="38">
        <f t="shared" si="6"/>
        <v>3023.3199999999997</v>
      </c>
      <c r="H29" s="38">
        <f t="shared" si="6"/>
        <v>3220.056794520548</v>
      </c>
      <c r="I29" s="38">
        <f t="shared" si="6"/>
        <v>3551.6484931506848</v>
      </c>
      <c r="J29" s="38">
        <f t="shared" si="6"/>
        <v>4002.4931506849316</v>
      </c>
    </row>
    <row r="30" spans="2:10" ht="15" customHeight="1" x14ac:dyDescent="0.3">
      <c r="B30" s="40" t="s">
        <v>164</v>
      </c>
      <c r="C30" s="41">
        <f t="shared" ref="C30:J30" si="7">C29-C16</f>
        <v>-112.3173041095888</v>
      </c>
      <c r="D30" s="41">
        <f t="shared" si="7"/>
        <v>-72.097095890410856</v>
      </c>
      <c r="E30" s="41">
        <f t="shared" si="7"/>
        <v>-105.75079452054797</v>
      </c>
      <c r="F30" s="41">
        <f t="shared" si="7"/>
        <v>-230.46369315068478</v>
      </c>
      <c r="G30" s="41">
        <f t="shared" si="7"/>
        <v>-320.42082191780855</v>
      </c>
      <c r="H30" s="41">
        <f t="shared" si="7"/>
        <v>-485.83375342465752</v>
      </c>
      <c r="I30" s="41">
        <f t="shared" si="7"/>
        <v>-584.45356164383611</v>
      </c>
      <c r="J30" s="41">
        <f t="shared" si="7"/>
        <v>-646.69863013698614</v>
      </c>
    </row>
  </sheetData>
  <mergeCells count="4">
    <mergeCell ref="A1:J1"/>
    <mergeCell ref="A2:J2"/>
    <mergeCell ref="B5:J5"/>
    <mergeCell ref="B18:J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showGridLines="0" zoomScaleNormal="100" workbookViewId="0">
      <selection sqref="A1:J1"/>
    </sheetView>
  </sheetViews>
  <sheetFormatPr defaultColWidth="8.6640625" defaultRowHeight="14.4" x14ac:dyDescent="0.3"/>
  <cols>
    <col min="1" max="1" width="3" style="9" customWidth="1"/>
    <col min="2" max="2" width="44" style="9" customWidth="1"/>
    <col min="3" max="10" width="15" style="9" customWidth="1"/>
  </cols>
  <sheetData>
    <row r="1" spans="1:10" ht="15" customHeight="1" x14ac:dyDescent="0.3">
      <c r="A1" s="2" t="s">
        <v>165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3">
      <c r="A2" s="6" t="s">
        <v>166</v>
      </c>
      <c r="B2" s="6"/>
      <c r="C2" s="6"/>
      <c r="D2" s="6"/>
      <c r="E2" s="6"/>
      <c r="F2" s="6"/>
      <c r="G2" s="6"/>
      <c r="H2" s="6"/>
      <c r="I2" s="6"/>
      <c r="J2" s="6"/>
    </row>
    <row r="4" spans="1:10" ht="15" customHeight="1" x14ac:dyDescent="0.3">
      <c r="B4" s="14" t="s">
        <v>118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6" t="s">
        <v>53</v>
      </c>
      <c r="I4" s="16" t="s">
        <v>54</v>
      </c>
      <c r="J4" s="16" t="s">
        <v>55</v>
      </c>
    </row>
    <row r="5" spans="1:10" ht="15" customHeight="1" x14ac:dyDescent="0.3">
      <c r="B5" s="6" t="s">
        <v>167</v>
      </c>
      <c r="C5" s="6"/>
      <c r="D5" s="6"/>
      <c r="E5" s="6"/>
      <c r="F5" s="6"/>
      <c r="G5" s="6"/>
      <c r="H5" s="6"/>
      <c r="I5" s="6"/>
      <c r="J5" s="6"/>
    </row>
    <row r="6" spans="1:10" ht="15" customHeight="1" x14ac:dyDescent="0.3">
      <c r="B6" s="13" t="s">
        <v>168</v>
      </c>
      <c r="C6" s="37">
        <f>'P&amp;L'!C26</f>
        <v>152.59090000000003</v>
      </c>
      <c r="D6" s="37">
        <f>'P&amp;L'!D26</f>
        <v>150.4079999999999</v>
      </c>
      <c r="E6" s="37">
        <f>'P&amp;L'!E26</f>
        <v>324.99424000000022</v>
      </c>
      <c r="F6" s="37">
        <f>'P&amp;L'!F26</f>
        <v>442.98599999999942</v>
      </c>
      <c r="G6" s="37">
        <f>'P&amp;L'!G26</f>
        <v>473.26500000000033</v>
      </c>
      <c r="H6" s="37">
        <f>'P&amp;L'!H26</f>
        <v>582.78700000000015</v>
      </c>
      <c r="I6" s="37">
        <f>'P&amp;L'!I26</f>
        <v>698.66359999999952</v>
      </c>
      <c r="J6" s="37">
        <f>'P&amp;L'!J26</f>
        <v>839.56700000000012</v>
      </c>
    </row>
    <row r="7" spans="1:10" ht="15" customHeight="1" x14ac:dyDescent="0.3">
      <c r="B7" s="13" t="s">
        <v>169</v>
      </c>
      <c r="C7" s="37">
        <f>Assumptions!C18</f>
        <v>113</v>
      </c>
      <c r="D7" s="37">
        <f>Assumptions!D18</f>
        <v>119</v>
      </c>
      <c r="E7" s="37">
        <f>Assumptions!E18</f>
        <v>122</v>
      </c>
      <c r="F7" s="37">
        <f>Assumptions!F18</f>
        <v>129</v>
      </c>
      <c r="G7" s="37">
        <f>Assumptions!G18</f>
        <v>123</v>
      </c>
      <c r="H7" s="37">
        <f>Assumptions!H18</f>
        <v>135</v>
      </c>
      <c r="I7" s="37">
        <f>Assumptions!I18</f>
        <v>150</v>
      </c>
      <c r="J7" s="37">
        <f>Assumptions!J18</f>
        <v>165</v>
      </c>
    </row>
    <row r="8" spans="1:10" ht="15" customHeight="1" x14ac:dyDescent="0.3">
      <c r="B8" s="13" t="s">
        <v>170</v>
      </c>
      <c r="C8" s="37">
        <f>Assumptions!C20</f>
        <v>34</v>
      </c>
      <c r="D8" s="37">
        <f>Assumptions!D20</f>
        <v>33</v>
      </c>
      <c r="E8" s="37">
        <f>Assumptions!E20</f>
        <v>30</v>
      </c>
      <c r="F8" s="37">
        <f>Assumptions!F20</f>
        <v>27</v>
      </c>
      <c r="G8" s="37">
        <f>Assumptions!G20</f>
        <v>24</v>
      </c>
      <c r="H8" s="37">
        <f>Assumptions!H20</f>
        <v>24</v>
      </c>
      <c r="I8" s="37">
        <f>Assumptions!I20</f>
        <v>21</v>
      </c>
      <c r="J8" s="37">
        <f>Assumptions!J20</f>
        <v>18</v>
      </c>
    </row>
    <row r="9" spans="1:10" ht="15" customHeight="1" x14ac:dyDescent="0.3">
      <c r="B9" s="13" t="s">
        <v>171</v>
      </c>
      <c r="C9" s="42" t="s">
        <v>124</v>
      </c>
      <c r="D9" s="37">
        <f>(BalanceSheet!C24-BalanceSheet!D24)+(BalanceSheet!C23-BalanceSheet!D23)+(BalanceSheet!D13-BalanceSheet!C13)</f>
        <v>-87.220208219178005</v>
      </c>
      <c r="E9" s="37">
        <f>(BalanceSheet!D24-BalanceSheet!E24)+(BalanceSheet!D23-BalanceSheet!E23)+(BalanceSheet!E13-BalanceSheet!D13)</f>
        <v>167.65369863013711</v>
      </c>
      <c r="F9" s="37">
        <f>(BalanceSheet!E24-BalanceSheet!F24)+(BalanceSheet!E23-BalanceSheet!F23)+(BalanceSheet!F13-BalanceSheet!E13)</f>
        <v>-177.28710136986319</v>
      </c>
      <c r="G9" s="37">
        <f>(BalanceSheet!F24-BalanceSheet!G24)+(BalanceSheet!F23-BalanceSheet!G23)+(BalanceSheet!G13-BalanceSheet!F13)</f>
        <v>23.957128767123436</v>
      </c>
      <c r="H9" s="37">
        <f>(BalanceSheet!G24-BalanceSheet!H24)+(BalanceSheet!G23-BalanceSheet!H23)+(BalanceSheet!H13-BalanceSheet!G13)</f>
        <v>-2.5870684931506389</v>
      </c>
      <c r="I9" s="37">
        <f>(BalanceSheet!H24-BalanceSheet!I24)+(BalanceSheet!H23-BalanceSheet!I23)+(BalanceSheet!I13-BalanceSheet!H13)</f>
        <v>19.619808219178253</v>
      </c>
      <c r="J9" s="37">
        <f>(BalanceSheet!I24-BalanceSheet!J24)+(BalanceSheet!I23-BalanceSheet!J23)+(BalanceSheet!J13-BalanceSheet!I13)</f>
        <v>4.2450684931503702</v>
      </c>
    </row>
    <row r="10" spans="1:10" ht="15" customHeight="1" x14ac:dyDescent="0.3">
      <c r="B10" s="13" t="s">
        <v>172</v>
      </c>
      <c r="C10" s="37">
        <f>-'P&amp;L'!C25</f>
        <v>37.860900000000008</v>
      </c>
      <c r="D10" s="37">
        <f>-'P&amp;L'!D25</f>
        <v>-150.4079999999999</v>
      </c>
      <c r="E10" s="37">
        <f>-'P&amp;L'!E25</f>
        <v>-102.62976000000006</v>
      </c>
      <c r="F10" s="37">
        <f>-'P&amp;L'!F25</f>
        <v>-147.66199999999981</v>
      </c>
      <c r="G10" s="37">
        <f>-'P&amp;L'!G25</f>
        <v>-157.75500000000011</v>
      </c>
      <c r="H10" s="37">
        <f>-'P&amp;L'!H25</f>
        <v>-204.76300000000006</v>
      </c>
      <c r="I10" s="37">
        <f>-'P&amp;L'!I25</f>
        <v>-245.47639999999987</v>
      </c>
      <c r="J10" s="37">
        <f>-'P&amp;L'!J25</f>
        <v>-294.98300000000006</v>
      </c>
    </row>
    <row r="11" spans="1:10" ht="15" customHeight="1" x14ac:dyDescent="0.3">
      <c r="B11" s="13" t="s">
        <v>173</v>
      </c>
      <c r="C11" s="37">
        <f>-Assumptions!C20</f>
        <v>-34</v>
      </c>
      <c r="D11" s="37">
        <f>-Assumptions!D20</f>
        <v>-33</v>
      </c>
      <c r="E11" s="37">
        <f>-Assumptions!E20</f>
        <v>-30</v>
      </c>
      <c r="F11" s="37">
        <f>-Assumptions!F20</f>
        <v>-27</v>
      </c>
      <c r="G11" s="37">
        <f>-Assumptions!G20</f>
        <v>-24</v>
      </c>
      <c r="H11" s="37">
        <f>-Assumptions!H20</f>
        <v>-24</v>
      </c>
      <c r="I11" s="37">
        <f>-Assumptions!I20</f>
        <v>-21</v>
      </c>
      <c r="J11" s="37">
        <f>-Assumptions!J20</f>
        <v>-18</v>
      </c>
    </row>
    <row r="12" spans="1:10" ht="15" customHeight="1" x14ac:dyDescent="0.3">
      <c r="B12" s="10" t="s">
        <v>174</v>
      </c>
      <c r="C12" s="34">
        <f>C6+C7+C8+C10+C11</f>
        <v>303.45180000000005</v>
      </c>
      <c r="D12" s="34">
        <f t="shared" ref="D12:J12" si="0">D6+D7+D8+D9+D10+D11</f>
        <v>31.779791780821995</v>
      </c>
      <c r="E12" s="34">
        <f t="shared" si="0"/>
        <v>512.0181786301373</v>
      </c>
      <c r="F12" s="34">
        <f t="shared" si="0"/>
        <v>247.03689863013642</v>
      </c>
      <c r="G12" s="34">
        <f t="shared" si="0"/>
        <v>462.46712876712365</v>
      </c>
      <c r="H12" s="34">
        <f t="shared" si="0"/>
        <v>510.43693150684942</v>
      </c>
      <c r="I12" s="34">
        <f t="shared" si="0"/>
        <v>622.80700821917787</v>
      </c>
      <c r="J12" s="34">
        <f t="shared" si="0"/>
        <v>713.82906849315043</v>
      </c>
    </row>
    <row r="14" spans="1:10" ht="15" customHeight="1" x14ac:dyDescent="0.3">
      <c r="B14" s="6" t="s">
        <v>175</v>
      </c>
      <c r="C14" s="6"/>
      <c r="D14" s="6"/>
      <c r="E14" s="6"/>
      <c r="F14" s="6"/>
      <c r="G14" s="6"/>
      <c r="H14" s="6"/>
      <c r="I14" s="6"/>
      <c r="J14" s="6"/>
    </row>
    <row r="15" spans="1:10" ht="15" customHeight="1" x14ac:dyDescent="0.3">
      <c r="B15" s="13" t="s">
        <v>176</v>
      </c>
      <c r="C15" s="37">
        <f>-Assumptions!C19</f>
        <v>-126</v>
      </c>
      <c r="D15" s="37">
        <f>-Assumptions!D19</f>
        <v>-166</v>
      </c>
      <c r="E15" s="37">
        <f>-Assumptions!E19</f>
        <v>-154</v>
      </c>
      <c r="F15" s="37">
        <f>-Assumptions!F19</f>
        <v>-189</v>
      </c>
      <c r="G15" s="37">
        <f>-Assumptions!G19</f>
        <v>-210</v>
      </c>
      <c r="H15" s="37">
        <f>-Assumptions!H19</f>
        <v>-230</v>
      </c>
      <c r="I15" s="37">
        <f>-Assumptions!I19</f>
        <v>-250</v>
      </c>
      <c r="J15" s="37">
        <f>-Assumptions!J19</f>
        <v>-270</v>
      </c>
    </row>
    <row r="16" spans="1:10" ht="15" customHeight="1" x14ac:dyDescent="0.3">
      <c r="B16" s="13" t="s">
        <v>177</v>
      </c>
      <c r="C16" s="18">
        <v>10</v>
      </c>
      <c r="D16" s="18">
        <v>5</v>
      </c>
      <c r="E16" s="18">
        <v>5</v>
      </c>
      <c r="F16" s="18">
        <v>5</v>
      </c>
      <c r="G16" s="18">
        <v>5</v>
      </c>
      <c r="H16" s="18">
        <v>5</v>
      </c>
      <c r="I16" s="18">
        <v>5</v>
      </c>
      <c r="J16" s="18">
        <v>5</v>
      </c>
    </row>
    <row r="17" spans="2:10" ht="15" customHeight="1" x14ac:dyDescent="0.3">
      <c r="B17" s="10" t="s">
        <v>178</v>
      </c>
      <c r="C17" s="34">
        <f t="shared" ref="C17:J17" si="1">C15+C16</f>
        <v>-116</v>
      </c>
      <c r="D17" s="34">
        <f t="shared" si="1"/>
        <v>-161</v>
      </c>
      <c r="E17" s="34">
        <f t="shared" si="1"/>
        <v>-149</v>
      </c>
      <c r="F17" s="34">
        <f t="shared" si="1"/>
        <v>-184</v>
      </c>
      <c r="G17" s="34">
        <f t="shared" si="1"/>
        <v>-205</v>
      </c>
      <c r="H17" s="34">
        <f t="shared" si="1"/>
        <v>-225</v>
      </c>
      <c r="I17" s="34">
        <f t="shared" si="1"/>
        <v>-245</v>
      </c>
      <c r="J17" s="34">
        <f t="shared" si="1"/>
        <v>-265</v>
      </c>
    </row>
    <row r="19" spans="2:10" ht="15" customHeight="1" x14ac:dyDescent="0.3">
      <c r="B19" s="6" t="s">
        <v>179</v>
      </c>
      <c r="C19" s="6"/>
      <c r="D19" s="6"/>
      <c r="E19" s="6"/>
      <c r="F19" s="6"/>
      <c r="G19" s="6"/>
      <c r="H19" s="6"/>
      <c r="I19" s="6"/>
      <c r="J19" s="6"/>
    </row>
    <row r="20" spans="2:10" ht="15" customHeight="1" x14ac:dyDescent="0.3">
      <c r="B20" s="13" t="s">
        <v>180</v>
      </c>
      <c r="C20" s="42" t="s">
        <v>124</v>
      </c>
      <c r="D20" s="37">
        <f>(BalanceSheet!D9-BalanceSheet!C9)+(BalanceSheet!D12-BalanceSheet!C12)</f>
        <v>-9</v>
      </c>
      <c r="E20" s="37">
        <f>(BalanceSheet!E9-BalanceSheet!D9)+(BalanceSheet!E12-BalanceSheet!D12)</f>
        <v>-186</v>
      </c>
      <c r="F20" s="37">
        <f>(BalanceSheet!F9-BalanceSheet!E9)+(BalanceSheet!F12-BalanceSheet!E12)</f>
        <v>87</v>
      </c>
      <c r="G20" s="37">
        <f>(BalanceSheet!G9-BalanceSheet!F9)+(BalanceSheet!G12-BalanceSheet!F12)</f>
        <v>-85</v>
      </c>
      <c r="H20" s="37">
        <f>(BalanceSheet!H9-BalanceSheet!G9)+(BalanceSheet!H12-BalanceSheet!G12)</f>
        <v>-4</v>
      </c>
      <c r="I20" s="37">
        <f>(BalanceSheet!I9-BalanceSheet!H9)+(BalanceSheet!I12-BalanceSheet!H12)</f>
        <v>-20</v>
      </c>
      <c r="J20" s="37">
        <f>(BalanceSheet!J9-BalanceSheet!I9)+(BalanceSheet!J12-BalanceSheet!I12)</f>
        <v>-20</v>
      </c>
    </row>
    <row r="21" spans="2:10" ht="15" customHeight="1" x14ac:dyDescent="0.3">
      <c r="B21" s="13" t="s">
        <v>181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</row>
    <row r="22" spans="2:10" ht="15" customHeight="1" x14ac:dyDescent="0.3">
      <c r="B22" s="10" t="s">
        <v>182</v>
      </c>
      <c r="C22" s="34">
        <f>IF(ISNUMBER(C20),C20,0)+C21-C11</f>
        <v>34</v>
      </c>
      <c r="D22" s="34">
        <f t="shared" ref="D22:J22" si="2">D20+D21-D11</f>
        <v>24</v>
      </c>
      <c r="E22" s="34">
        <f t="shared" si="2"/>
        <v>-156</v>
      </c>
      <c r="F22" s="34">
        <f t="shared" si="2"/>
        <v>114</v>
      </c>
      <c r="G22" s="34">
        <f t="shared" si="2"/>
        <v>-61</v>
      </c>
      <c r="H22" s="34">
        <f t="shared" si="2"/>
        <v>20</v>
      </c>
      <c r="I22" s="34">
        <f t="shared" si="2"/>
        <v>1</v>
      </c>
      <c r="J22" s="34">
        <f t="shared" si="2"/>
        <v>-2</v>
      </c>
    </row>
    <row r="24" spans="2:10" ht="15" customHeight="1" x14ac:dyDescent="0.3">
      <c r="B24" s="6" t="s">
        <v>183</v>
      </c>
      <c r="C24" s="6"/>
      <c r="D24" s="6"/>
      <c r="E24" s="6"/>
      <c r="F24" s="6"/>
      <c r="G24" s="6"/>
      <c r="H24" s="6"/>
      <c r="I24" s="6"/>
      <c r="J24" s="6"/>
    </row>
    <row r="25" spans="2:10" ht="15" customHeight="1" x14ac:dyDescent="0.3">
      <c r="B25" s="14" t="s">
        <v>184</v>
      </c>
      <c r="C25" s="38">
        <f t="shared" ref="C25:J25" si="3">C12+C15</f>
        <v>177.45180000000005</v>
      </c>
      <c r="D25" s="38">
        <f t="shared" si="3"/>
        <v>-134.22020821917801</v>
      </c>
      <c r="E25" s="38">
        <f t="shared" si="3"/>
        <v>358.0181786301373</v>
      </c>
      <c r="F25" s="38">
        <f t="shared" si="3"/>
        <v>58.03689863013642</v>
      </c>
      <c r="G25" s="38">
        <f t="shared" si="3"/>
        <v>252.46712876712365</v>
      </c>
      <c r="H25" s="38">
        <f t="shared" si="3"/>
        <v>280.43693150684942</v>
      </c>
      <c r="I25" s="38">
        <f t="shared" si="3"/>
        <v>372.80700821917787</v>
      </c>
      <c r="J25" s="38">
        <f t="shared" si="3"/>
        <v>443.82906849315043</v>
      </c>
    </row>
    <row r="26" spans="2:10" ht="15" customHeight="1" x14ac:dyDescent="0.3">
      <c r="B26" s="13" t="s">
        <v>185</v>
      </c>
      <c r="C26" s="36">
        <f>C25/'P&amp;L'!C6</f>
        <v>5.3145193171608283E-2</v>
      </c>
      <c r="D26" s="36">
        <f>D25/'P&amp;L'!D6</f>
        <v>-3.2704729098240258E-2</v>
      </c>
      <c r="E26" s="36">
        <f>E25/'P&amp;L'!E6</f>
        <v>8.3028334561720152E-2</v>
      </c>
      <c r="F26" s="36">
        <f>F25/'P&amp;L'!F6</f>
        <v>1.1743605550412064E-2</v>
      </c>
      <c r="G26" s="36">
        <f>G25/'P&amp;L'!G6</f>
        <v>4.638381935828103E-2</v>
      </c>
      <c r="H26" s="36">
        <f>H25/'P&amp;L'!H6</f>
        <v>4.5995888388855079E-2</v>
      </c>
      <c r="I26" s="36">
        <f>I25/'P&amp;L'!I6</f>
        <v>5.4583749373232487E-2</v>
      </c>
      <c r="J26" s="36">
        <f>J25/'P&amp;L'!J6</f>
        <v>5.8016871698451038E-2</v>
      </c>
    </row>
    <row r="27" spans="2:10" ht="15" customHeight="1" x14ac:dyDescent="0.3">
      <c r="B27" s="13" t="s">
        <v>186</v>
      </c>
      <c r="C27" s="36">
        <f>IF('P&amp;L'!C16&lt;&gt;0,C12/'P&amp;L'!C16,0)</f>
        <v>1.298300603260172</v>
      </c>
      <c r="D27" s="36">
        <f>IF('P&amp;L'!D16&lt;&gt;0,D12/'P&amp;L'!D16,0)</f>
        <v>7.4457826746940153E-2</v>
      </c>
      <c r="E27" s="36">
        <f>IF('P&amp;L'!E16&lt;&gt;0,E12/'P&amp;L'!E16,0)</f>
        <v>0.93498126201579379</v>
      </c>
      <c r="F27" s="36">
        <f>IF('P&amp;L'!F16&lt;&gt;0,F12/'P&amp;L'!F16,0)</f>
        <v>0.34713355286621572</v>
      </c>
      <c r="G27" s="36">
        <f>IF('P&amp;L'!G16&lt;&gt;0,G12/'P&amp;L'!G16,0)</f>
        <v>0.60689631343944173</v>
      </c>
      <c r="H27" s="36">
        <f>IF('P&amp;L'!H16&lt;&gt;0,H12/'P&amp;L'!H16,0)</f>
        <v>0.55812905965431014</v>
      </c>
      <c r="I27" s="36">
        <f>IF('P&amp;L'!I16&lt;&gt;0,I12/'P&amp;L'!I16,0)</f>
        <v>0.57713272440941699</v>
      </c>
      <c r="J27" s="36">
        <f>IF('P&amp;L'!J16&lt;&gt;0,J12/'P&amp;L'!J16,0)</f>
        <v>0.55874843919466977</v>
      </c>
    </row>
  </sheetData>
  <mergeCells count="6">
    <mergeCell ref="B24:J24"/>
    <mergeCell ref="A1:J1"/>
    <mergeCell ref="A2:J2"/>
    <mergeCell ref="B5:J5"/>
    <mergeCell ref="B14:J14"/>
    <mergeCell ref="B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showGridLines="0" zoomScaleNormal="100" workbookViewId="0"/>
  </sheetViews>
  <sheetFormatPr defaultColWidth="8.6640625" defaultRowHeight="14.4" x14ac:dyDescent="0.3"/>
  <cols>
    <col min="1" max="1" width="3" style="9" customWidth="1"/>
    <col min="2" max="2" width="42" style="9" customWidth="1"/>
    <col min="3" max="10" width="15" style="9" customWidth="1"/>
    <col min="11" max="11" width="22" style="9" customWidth="1"/>
  </cols>
  <sheetData>
    <row r="1" spans="1:11" ht="15" customHeight="1" x14ac:dyDescent="0.3">
      <c r="A1" s="2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 x14ac:dyDescent="0.3">
      <c r="A2" s="6" t="s">
        <v>188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15" customHeight="1" x14ac:dyDescent="0.3">
      <c r="B4" s="6" t="s">
        <v>189</v>
      </c>
      <c r="C4" s="6"/>
      <c r="D4" s="6"/>
      <c r="E4" s="6"/>
    </row>
    <row r="5" spans="1:11" ht="15" customHeight="1" x14ac:dyDescent="0.3">
      <c r="B5" s="17" t="s">
        <v>106</v>
      </c>
      <c r="C5" s="43">
        <f>Assumptions!C45</f>
        <v>0.122</v>
      </c>
    </row>
    <row r="6" spans="1:11" ht="15" customHeight="1" x14ac:dyDescent="0.3">
      <c r="B6" s="17" t="s">
        <v>108</v>
      </c>
      <c r="C6" s="43">
        <f>Assumptions!C46</f>
        <v>5.5E-2</v>
      </c>
    </row>
    <row r="7" spans="1:11" ht="15" customHeight="1" x14ac:dyDescent="0.3">
      <c r="B7" s="17" t="s">
        <v>190</v>
      </c>
      <c r="C7" s="44">
        <f>Assumptions!C47</f>
        <v>127</v>
      </c>
    </row>
    <row r="8" spans="1:11" ht="15" customHeight="1" x14ac:dyDescent="0.3">
      <c r="B8" s="17" t="s">
        <v>14</v>
      </c>
      <c r="C8" s="45">
        <f>Assumptions!C48</f>
        <v>4.07</v>
      </c>
    </row>
    <row r="9" spans="1:11" ht="15" customHeight="1" x14ac:dyDescent="0.3">
      <c r="B9" s="17" t="s">
        <v>81</v>
      </c>
      <c r="C9" s="43">
        <f>Assumptions!J23</f>
        <v>0.26</v>
      </c>
    </row>
    <row r="12" spans="1:11" ht="15" customHeight="1" x14ac:dyDescent="0.3">
      <c r="B12" s="6" t="s">
        <v>191</v>
      </c>
      <c r="C12" s="6"/>
      <c r="D12" s="6"/>
      <c r="E12" s="6"/>
      <c r="F12" s="6"/>
      <c r="G12" s="6"/>
      <c r="H12" s="6"/>
      <c r="I12" s="6"/>
      <c r="J12" s="6"/>
    </row>
    <row r="13" spans="1:11" ht="15" customHeight="1" x14ac:dyDescent="0.3">
      <c r="B13" s="14" t="s">
        <v>118</v>
      </c>
      <c r="C13" s="16" t="s">
        <v>53</v>
      </c>
      <c r="D13" s="16" t="s">
        <v>54</v>
      </c>
      <c r="E13" s="16" t="s">
        <v>55</v>
      </c>
      <c r="F13" s="16" t="s">
        <v>192</v>
      </c>
      <c r="G13" s="16" t="s">
        <v>193</v>
      </c>
    </row>
    <row r="14" spans="1:11" ht="15" customHeight="1" x14ac:dyDescent="0.3">
      <c r="B14" s="13" t="s">
        <v>194</v>
      </c>
      <c r="C14" s="33">
        <f>'P&amp;L'!H19</f>
        <v>779.55000000000018</v>
      </c>
      <c r="D14" s="33">
        <f>'P&amp;L'!I19</f>
        <v>929.13999999999942</v>
      </c>
      <c r="E14" s="33">
        <f>'P&amp;L'!J19</f>
        <v>1112.5500000000002</v>
      </c>
      <c r="F14" s="37">
        <f>E14*1.1</f>
        <v>1223.8050000000003</v>
      </c>
      <c r="G14" s="37">
        <f>F14*1.09</f>
        <v>1333.9474500000003</v>
      </c>
    </row>
    <row r="15" spans="1:11" ht="15" customHeight="1" x14ac:dyDescent="0.3">
      <c r="B15" s="13" t="s">
        <v>195</v>
      </c>
      <c r="C15" s="37">
        <f>-C14*C9</f>
        <v>-202.68300000000005</v>
      </c>
      <c r="D15" s="37">
        <f>-D14*C9</f>
        <v>-241.57639999999986</v>
      </c>
      <c r="E15" s="37">
        <f>-E14*C9</f>
        <v>-289.26300000000003</v>
      </c>
      <c r="F15" s="37">
        <f>-F14*C9</f>
        <v>-318.18930000000006</v>
      </c>
      <c r="G15" s="37">
        <f>-G14*C9</f>
        <v>-346.82633700000008</v>
      </c>
    </row>
    <row r="16" spans="1:11" ht="15" customHeight="1" x14ac:dyDescent="0.3">
      <c r="B16" s="31" t="s">
        <v>196</v>
      </c>
      <c r="C16" s="32">
        <f>C14+C15</f>
        <v>576.86700000000019</v>
      </c>
      <c r="D16" s="32">
        <f>D14+D15</f>
        <v>687.5635999999995</v>
      </c>
      <c r="E16" s="32">
        <f>E14+E15</f>
        <v>823.28700000000015</v>
      </c>
      <c r="F16" s="32">
        <f>F14+F15</f>
        <v>905.61570000000029</v>
      </c>
      <c r="G16" s="32">
        <f>G14+G15</f>
        <v>987.12111300000026</v>
      </c>
    </row>
    <row r="17" spans="2:10" ht="15" customHeight="1" x14ac:dyDescent="0.3">
      <c r="B17" s="13" t="s">
        <v>169</v>
      </c>
      <c r="C17" s="33">
        <f>Assumptions!H18</f>
        <v>135</v>
      </c>
      <c r="D17" s="33">
        <f>Assumptions!I18</f>
        <v>150</v>
      </c>
      <c r="E17" s="33">
        <f>Assumptions!J18</f>
        <v>165</v>
      </c>
      <c r="F17" s="37">
        <f>E17*1.07</f>
        <v>176.55</v>
      </c>
      <c r="G17" s="37">
        <f>F17*1.07</f>
        <v>188.90850000000003</v>
      </c>
    </row>
    <row r="18" spans="2:10" ht="15" customHeight="1" x14ac:dyDescent="0.3">
      <c r="B18" s="13" t="s">
        <v>176</v>
      </c>
      <c r="C18" s="33">
        <f>-Assumptions!H19</f>
        <v>-230</v>
      </c>
      <c r="D18" s="33">
        <f>-Assumptions!I19</f>
        <v>-250</v>
      </c>
      <c r="E18" s="33">
        <f>-Assumptions!J19</f>
        <v>-270</v>
      </c>
      <c r="F18" s="37">
        <f>E18*1.06</f>
        <v>-286.2</v>
      </c>
      <c r="G18" s="37">
        <f>F18*1.06</f>
        <v>-303.37200000000001</v>
      </c>
    </row>
    <row r="19" spans="2:10" ht="15" customHeight="1" x14ac:dyDescent="0.3">
      <c r="B19" s="13" t="s">
        <v>197</v>
      </c>
      <c r="C19" s="18">
        <v>-30</v>
      </c>
      <c r="D19" s="18">
        <v>-35</v>
      </c>
      <c r="E19" s="18">
        <v>-40</v>
      </c>
      <c r="F19" s="18">
        <v>-42</v>
      </c>
      <c r="G19" s="18">
        <v>-45</v>
      </c>
    </row>
    <row r="20" spans="2:10" ht="15" customHeight="1" x14ac:dyDescent="0.3">
      <c r="B20" s="14" t="s">
        <v>198</v>
      </c>
      <c r="C20" s="38">
        <f>C16+C17+C18+C19</f>
        <v>451.86700000000019</v>
      </c>
      <c r="D20" s="38">
        <f>D16+D17+D18+D19</f>
        <v>552.5635999999995</v>
      </c>
      <c r="E20" s="38">
        <f>E16+E17+E18+E19</f>
        <v>678.28700000000015</v>
      </c>
      <c r="F20" s="38">
        <f>F16+F17+F18+F19</f>
        <v>753.9657000000002</v>
      </c>
      <c r="G20" s="38">
        <f>G16+G17+G18+G19</f>
        <v>827.65761300000031</v>
      </c>
    </row>
    <row r="22" spans="2:10" ht="15" customHeight="1" x14ac:dyDescent="0.3">
      <c r="B22" s="6" t="s">
        <v>199</v>
      </c>
      <c r="C22" s="6"/>
      <c r="D22" s="6"/>
      <c r="E22" s="6"/>
      <c r="F22" s="6"/>
      <c r="G22" s="6"/>
      <c r="H22" s="6"/>
      <c r="I22" s="6"/>
      <c r="J22" s="6"/>
    </row>
    <row r="23" spans="2:10" ht="15" customHeight="1" x14ac:dyDescent="0.3">
      <c r="B23" s="13" t="s">
        <v>200</v>
      </c>
      <c r="C23" s="46">
        <v>1</v>
      </c>
      <c r="D23" s="46">
        <v>2</v>
      </c>
      <c r="E23" s="46">
        <v>3</v>
      </c>
      <c r="F23" s="46">
        <v>4</v>
      </c>
      <c r="G23" s="46">
        <v>5</v>
      </c>
    </row>
    <row r="24" spans="2:10" ht="15" customHeight="1" x14ac:dyDescent="0.3">
      <c r="B24" s="13" t="s">
        <v>201</v>
      </c>
      <c r="C24" s="47">
        <f>1/(1+C5)^C23</f>
        <v>0.89126559714795017</v>
      </c>
      <c r="D24" s="47">
        <f>1/(1+C5)^D23</f>
        <v>0.79435436465949227</v>
      </c>
      <c r="E24" s="47">
        <f>1/(1+C5)^E23</f>
        <v>0.70798071716532296</v>
      </c>
      <c r="F24" s="47">
        <f>1/(1+C5)^F23</f>
        <v>0.63099885665358557</v>
      </c>
      <c r="G24" s="47">
        <f>1/(1+C5)^G23</f>
        <v>0.56238757277503182</v>
      </c>
    </row>
    <row r="25" spans="2:10" ht="15" customHeight="1" x14ac:dyDescent="0.3">
      <c r="B25" s="10" t="s">
        <v>202</v>
      </c>
      <c r="C25" s="34">
        <f>C20*C24</f>
        <v>402.73351158645295</v>
      </c>
      <c r="D25" s="34">
        <f>D20*D24</f>
        <v>438.93130741196143</v>
      </c>
      <c r="E25" s="34">
        <f>E20*E24</f>
        <v>480.21411670391552</v>
      </c>
      <c r="F25" s="34">
        <f>F20*F24</f>
        <v>475.75149465602044</v>
      </c>
      <c r="G25" s="34">
        <f>G20*G24</f>
        <v>465.46435606384682</v>
      </c>
    </row>
    <row r="26" spans="2:10" ht="15" customHeight="1" x14ac:dyDescent="0.3">
      <c r="B26" s="17" t="s">
        <v>203</v>
      </c>
      <c r="C26" s="48">
        <f>SUM(C25:G25)</f>
        <v>2263.0947864221971</v>
      </c>
    </row>
    <row r="27" spans="2:10" ht="15" customHeight="1" x14ac:dyDescent="0.3">
      <c r="B27" s="13" t="s">
        <v>204</v>
      </c>
      <c r="C27" s="37">
        <f>G20*(1+C6)/(C5-C6)</f>
        <v>13032.51913007463</v>
      </c>
    </row>
    <row r="28" spans="2:10" ht="15" customHeight="1" x14ac:dyDescent="0.3">
      <c r="B28" s="13" t="s">
        <v>205</v>
      </c>
      <c r="C28" s="37">
        <f>C27*G24</f>
        <v>7329.32680070684</v>
      </c>
    </row>
    <row r="29" spans="2:10" ht="15" customHeight="1" x14ac:dyDescent="0.3">
      <c r="B29" s="10" t="s">
        <v>206</v>
      </c>
      <c r="C29" s="34">
        <f>C26+C28</f>
        <v>9592.4215871290362</v>
      </c>
    </row>
    <row r="30" spans="2:10" ht="15" customHeight="1" x14ac:dyDescent="0.3">
      <c r="B30" s="13" t="s">
        <v>207</v>
      </c>
      <c r="C30" s="33">
        <f>C7</f>
        <v>127</v>
      </c>
    </row>
    <row r="31" spans="2:10" ht="15" customHeight="1" x14ac:dyDescent="0.3">
      <c r="B31" s="10" t="s">
        <v>208</v>
      </c>
      <c r="C31" s="34">
        <f>C29-C30</f>
        <v>9465.4215871290362</v>
      </c>
    </row>
    <row r="32" spans="2:10" ht="15" customHeight="1" x14ac:dyDescent="0.3">
      <c r="B32" s="49" t="s">
        <v>209</v>
      </c>
      <c r="C32" s="50">
        <f>C31/C8*100</f>
        <v>232565.64096140137</v>
      </c>
    </row>
    <row r="33" spans="2:8" ht="15" customHeight="1" x14ac:dyDescent="0.3">
      <c r="B33" s="17" t="s">
        <v>210</v>
      </c>
      <c r="C33" s="51">
        <f>(C32-Assumptions!C51)/Assumptions!C51</f>
        <v>211.00149586271775</v>
      </c>
    </row>
    <row r="35" spans="2:8" ht="15" customHeight="1" x14ac:dyDescent="0.3">
      <c r="B35" s="6" t="s">
        <v>211</v>
      </c>
      <c r="C35" s="6"/>
      <c r="D35" s="6"/>
      <c r="E35" s="6"/>
      <c r="F35" s="6"/>
      <c r="G35" s="6"/>
      <c r="H35" s="6"/>
    </row>
    <row r="36" spans="2:8" ht="15" customHeight="1" x14ac:dyDescent="0.3">
      <c r="B36" s="52" t="s">
        <v>212</v>
      </c>
      <c r="C36" s="53">
        <v>0.1</v>
      </c>
      <c r="D36" s="53">
        <v>0.11</v>
      </c>
      <c r="E36" s="53">
        <v>0.12</v>
      </c>
      <c r="F36" s="53">
        <v>0.122</v>
      </c>
      <c r="G36" s="53">
        <v>0.13</v>
      </c>
    </row>
    <row r="37" spans="2:8" ht="15" customHeight="1" x14ac:dyDescent="0.3">
      <c r="B37" s="53">
        <v>0.04</v>
      </c>
      <c r="C37" s="39">
        <f>((C20/(1+0.1)^1+D20/(1+0.1)^2+E20/(1+0.1)^3+F20/(1+0.1)^4+G20/(1+0.1)^5)+((G20*(1+0.04)/(0.1-0.04))/(1+0.1)^5)-C30)/C8*100</f>
        <v>274857.89180093532</v>
      </c>
      <c r="D37" s="39">
        <f>((C20/(1+0.11)^1+D20/(1+0.11)^2+E20/(1+0.11)^3+F20/(1+0.11)^4+G20/(1+0.11)^5)+((G20*(1+0.04)/(0.11-0.04))/(1+0.11)^5)-C30)/C8*100</f>
        <v>233656.09179698737</v>
      </c>
      <c r="E37" s="39">
        <f>((C20/(1+0.12)^1+D20/(1+0.12)^2+E20/(1+0.12)^3+F20/(1+0.12)^4+G20/(1+0.12)^5)+((G20*(1+0.04)/(0.12-0.04))/(1+0.12)^5)-C30)/C8*100</f>
        <v>202795.95372557416</v>
      </c>
      <c r="F37" s="39">
        <f>((C20/(1+0.122)^1+D20/(1+0.122)^2+E20/(1+0.122)^3+F20/(1+0.122)^4+G20/(1+0.122)^5)+((G20*(1+0.04)/(0.122-0.04))/(1+0.122)^5)-C30)/C8*100</f>
        <v>197531.82201504789</v>
      </c>
      <c r="G37" s="39">
        <f>((C20/(1+0.13)^1+D20/(1+0.13)^2+E20/(1+0.13)^3+F20/(1+0.13)^4+G20/(1+0.13)^5)+((G20*(1+0.04)/(0.13-0.04))/(1+0.13)^5)-C30)/C8*100</f>
        <v>178828.69525924674</v>
      </c>
    </row>
    <row r="38" spans="2:8" ht="15" customHeight="1" x14ac:dyDescent="0.3">
      <c r="B38" s="53">
        <v>4.4999999999999998E-2</v>
      </c>
      <c r="C38" s="39">
        <f>((C20/(1+0.1)^1+D20/(1+0.1)^2+E20/(1+0.1)^3+F20/(1+0.1)^4+G20/(1+0.1)^5)+((G20*(1+0.045)/(0.1-0.045))/(1+0.1)^5)-C30)/C8*100</f>
        <v>295902.53799683787</v>
      </c>
      <c r="D38" s="39">
        <f>((C20/(1+0.11)^1+D20/(1+0.11)^2+E20/(1+0.11)^3+F20/(1+0.11)^4+G20/(1+0.11)^5)+((G20*(1+0.045)/(0.11-0.045))/(1+0.11)^5)-C30)/C8*100</f>
        <v>248376.60657059256</v>
      </c>
      <c r="E38" s="39">
        <f>((C20/(1+0.12)^1+D20/(1+0.12)^2+E20/(1+0.12)^3+F20/(1+0.12)^4+G20/(1+0.12)^5)+((G20*(1+0.045)/(0.12-0.045))/(1+0.12)^5)-C30)/C8*100</f>
        <v>213565.6379145768</v>
      </c>
      <c r="F38" s="39">
        <f>((C20/(1+0.122)^1+D20/(1+0.122)^2+E20/(1+0.122)^3+F20/(1+0.122)^4+G20/(1+0.122)^5)+((G20*(1+0.045)/(0.122-0.045))/(1+0.122)^5)-C30)/C8*100</f>
        <v>207693.14612502916</v>
      </c>
      <c r="G38" s="39">
        <f>((C20/(1+0.13)^1+D20/(1+0.13)^2+E20/(1+0.13)^3+F20/(1+0.13)^4+G20/(1+0.13)^5)+((G20*(1+0.045)/(0.13-0.045))/(1+0.13)^5)-C30)/C8*100</f>
        <v>186980.44991485382</v>
      </c>
    </row>
    <row r="39" spans="2:8" ht="15" customHeight="1" x14ac:dyDescent="0.3">
      <c r="B39" s="53">
        <v>0.05</v>
      </c>
      <c r="C39" s="39">
        <f>((C20/(1+0.1)^1+D20/(1+0.1)^2+E20/(1+0.1)^3+F20/(1+0.1)^4+G20/(1+0.1)^5)+((G20*(1+0.05)/(0.1-0.05))/(1+0.1)^5)-C30)/C8*100</f>
        <v>321156.11343192111</v>
      </c>
      <c r="D39" s="39">
        <f>((C20/(1+0.11)^1+D20/(1+0.11)^2+E20/(1+0.11)^3+F20/(1+0.11)^4+G20/(1+0.11)^5)+((G20*(1+0.05)/(0.11-0.05))/(1+0.11)^5)-C30)/C8*100</f>
        <v>265550.54047313199</v>
      </c>
      <c r="E39" s="39">
        <f>((C20/(1+0.12)^1+D20/(1+0.12)^2+E20/(1+0.12)^3+F20/(1+0.12)^4+G20/(1+0.12)^5)+((G20*(1+0.05)/(0.12-0.05))/(1+0.12)^5)-C30)/C8*100</f>
        <v>225873.84841629415</v>
      </c>
      <c r="F39" s="39">
        <f>((C20/(1+0.122)^1+D20/(1+0.122)^2+E20/(1+0.122)^3+F20/(1+0.122)^4+G20/(1+0.122)^5)+((G20*(1+0.05)/(0.122-0.05))/(1+0.122)^5)-C30)/C8*100</f>
        <v>219265.76525028571</v>
      </c>
      <c r="G39" s="39">
        <f>((C20/(1+0.13)^1+D20/(1+0.13)^2+E20/(1+0.13)^3+F20/(1+0.13)^4+G20/(1+0.13)^5)+((G20*(1+0.05)/(0.13-0.05))/(1+0.13)^5)-C30)/C8*100</f>
        <v>196151.17390241186</v>
      </c>
    </row>
    <row r="40" spans="2:8" ht="15" customHeight="1" x14ac:dyDescent="0.3">
      <c r="B40" s="53">
        <v>5.5E-2</v>
      </c>
      <c r="C40" s="39">
        <f>((C20/(1+0.1)^1+D20/(1+0.1)^2+E20/(1+0.1)^3+F20/(1+0.1)^4+G20/(1+0.1)^5)+((G20*(1+0.055)/(0.1-0.055))/(1+0.1)^5)-C30)/C8*100</f>
        <v>352021.5945192448</v>
      </c>
      <c r="D40" s="39">
        <f>((C20/(1+0.11)^1+D20/(1+0.11)^2+E20/(1+0.11)^3+F20/(1+0.11)^4+G20/(1+0.11)^5)+((G20*(1+0.055)/(0.11-0.055))/(1+0.11)^5)-C30)/C8*100</f>
        <v>285847.00781249674</v>
      </c>
      <c r="E40" s="39">
        <f>((C20/(1+0.12)^1+D20/(1+0.12)^2+E20/(1+0.12)^3+F20/(1+0.12)^4+G20/(1+0.12)^5)+((G20*(1+0.055)/(0.12-0.055))/(1+0.12)^5)-C30)/C8*100</f>
        <v>240075.62976442947</v>
      </c>
      <c r="F40" s="39">
        <f>((C20/(1+0.122)^1+D20/(1+0.122)^2+E20/(1+0.122)^3+F20/(1+0.122)^4+G20/(1+0.122)^5)+((G20*(1+0.055)/(0.122-0.055))/(1+0.122)^5)-C30)/C8*100</f>
        <v>232565.64096140137</v>
      </c>
      <c r="G40" s="39">
        <f>((C20/(1+0.13)^1+D20/(1+0.13)^2+E20/(1+0.13)^3+F20/(1+0.13)^4+G20/(1+0.13)^5)+((G20*(1+0.055)/(0.13-0.055))/(1+0.13)^5)-C30)/C8*100</f>
        <v>206544.66108831085</v>
      </c>
    </row>
    <row r="41" spans="2:8" ht="15" customHeight="1" x14ac:dyDescent="0.3">
      <c r="B41" s="53">
        <v>0.06</v>
      </c>
      <c r="C41" s="39">
        <f>((C20/(1+0.1)^1+D20/(1+0.1)^2+E20/(1+0.1)^3+F20/(1+0.1)^4+G20/(1+0.1)^5)+((G20*(1+0.06)/(0.1-0.06))/(1+0.1)^5)-C30)/C8*100</f>
        <v>390603.44587839965</v>
      </c>
      <c r="D41" s="39">
        <f>((C20/(1+0.11)^1+D20/(1+0.11)^2+E20/(1+0.11)^3+F20/(1+0.11)^4+G20/(1+0.11)^5)+((G20*(1+0.06)/(0.11-0.06))/(1+0.11)^5)-C30)/C8*100</f>
        <v>310202.76861973433</v>
      </c>
      <c r="E41" s="39">
        <f>((C20/(1+0.12)^1+D20/(1+0.12)^2+E20/(1+0.12)^3+F20/(1+0.12)^4+G20/(1+0.12)^5)+((G20*(1+0.06)/(0.12-0.06))/(1+0.12)^5)-C30)/C8*100</f>
        <v>256644.37467058742</v>
      </c>
      <c r="F41" s="39">
        <f>((C20/(1+0.122)^1+D20/(1+0.122)^2+E20/(1+0.122)^3+F20/(1+0.122)^4+G20/(1+0.122)^5)+((G20*(1+0.06)/(0.122-0.06))/(1+0.122)^5)-C30)/C8*100</f>
        <v>248010.65791624546</v>
      </c>
      <c r="G41" s="39">
        <f>((C20/(1+0.13)^1+D20/(1+0.13)^2+E20/(1+0.13)^3+F20/(1+0.13)^4+G20/(1+0.13)^5)+((G20*(1+0.06)/(0.13-0.06))/(1+0.13)^5)-C30)/C8*100</f>
        <v>218422.93215790982</v>
      </c>
    </row>
  </sheetData>
  <mergeCells count="6">
    <mergeCell ref="B35:H35"/>
    <mergeCell ref="A1:K1"/>
    <mergeCell ref="A2:K2"/>
    <mergeCell ref="B4:E4"/>
    <mergeCell ref="B12:J12"/>
    <mergeCell ref="B22:J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zoomScaleNormal="100" workbookViewId="0"/>
  </sheetViews>
  <sheetFormatPr defaultColWidth="8.6640625" defaultRowHeight="14.4" x14ac:dyDescent="0.3"/>
  <cols>
    <col min="1" max="1" width="3" style="9" customWidth="1"/>
    <col min="2" max="2" width="25" style="9" customWidth="1"/>
    <col min="3" max="12" width="12" style="9" customWidth="1"/>
  </cols>
  <sheetData>
    <row r="1" spans="1:12" ht="15" customHeight="1" x14ac:dyDescent="0.3">
      <c r="A1" s="2" t="s">
        <v>213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3">
      <c r="A2" s="6" t="s">
        <v>214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spans="1:12" ht="15" customHeight="1" x14ac:dyDescent="0.3">
      <c r="B4" s="16" t="s">
        <v>2</v>
      </c>
      <c r="C4" s="16" t="s">
        <v>215</v>
      </c>
      <c r="D4" s="16" t="s">
        <v>216</v>
      </c>
      <c r="E4" s="16" t="s">
        <v>131</v>
      </c>
      <c r="F4" s="16" t="s">
        <v>217</v>
      </c>
      <c r="G4" s="16" t="s">
        <v>218</v>
      </c>
      <c r="H4" s="16" t="s">
        <v>219</v>
      </c>
      <c r="I4" s="16" t="s">
        <v>220</v>
      </c>
      <c r="J4" s="16" t="s">
        <v>221</v>
      </c>
      <c r="K4" s="16" t="s">
        <v>222</v>
      </c>
      <c r="L4" s="16" t="s">
        <v>223</v>
      </c>
    </row>
    <row r="5" spans="1:12" ht="15" customHeight="1" x14ac:dyDescent="0.3">
      <c r="B5" s="54" t="s">
        <v>224</v>
      </c>
      <c r="C5" s="55">
        <v>38500</v>
      </c>
      <c r="D5" s="55">
        <v>11200</v>
      </c>
      <c r="E5" s="55">
        <v>850</v>
      </c>
      <c r="F5" s="56">
        <v>7.5999999999999998E-2</v>
      </c>
      <c r="G5" s="55">
        <v>600</v>
      </c>
      <c r="H5" s="56">
        <v>5.3999999999999999E-2</v>
      </c>
      <c r="I5" s="57" t="s">
        <v>225</v>
      </c>
      <c r="J5" s="57" t="s">
        <v>226</v>
      </c>
      <c r="K5" s="57" t="s">
        <v>227</v>
      </c>
      <c r="L5" s="56">
        <v>0.14199999999999999</v>
      </c>
    </row>
    <row r="6" spans="1:12" ht="15" customHeight="1" x14ac:dyDescent="0.3">
      <c r="B6" s="11" t="s">
        <v>228</v>
      </c>
      <c r="C6" s="58">
        <v>96000</v>
      </c>
      <c r="D6" s="58">
        <v>17800</v>
      </c>
      <c r="E6" s="58">
        <v>2100</v>
      </c>
      <c r="F6" s="59">
        <v>0.11799999999999999</v>
      </c>
      <c r="G6" s="58">
        <v>1550</v>
      </c>
      <c r="H6" s="59">
        <v>8.6999999999999994E-2</v>
      </c>
      <c r="I6" s="60" t="s">
        <v>229</v>
      </c>
      <c r="J6" s="60" t="s">
        <v>230</v>
      </c>
      <c r="K6" s="60" t="s">
        <v>231</v>
      </c>
      <c r="L6" s="59">
        <v>0.248</v>
      </c>
    </row>
    <row r="7" spans="1:12" ht="15" customHeight="1" x14ac:dyDescent="0.3">
      <c r="B7" s="54" t="s">
        <v>232</v>
      </c>
      <c r="C7" s="55">
        <v>23500</v>
      </c>
      <c r="D7" s="55">
        <v>10600</v>
      </c>
      <c r="E7" s="55">
        <v>900</v>
      </c>
      <c r="F7" s="56">
        <v>8.5000000000000006E-2</v>
      </c>
      <c r="G7" s="55">
        <v>510</v>
      </c>
      <c r="H7" s="56">
        <v>4.8000000000000001E-2</v>
      </c>
      <c r="I7" s="57" t="s">
        <v>233</v>
      </c>
      <c r="J7" s="57" t="s">
        <v>234</v>
      </c>
      <c r="K7" s="57" t="s">
        <v>235</v>
      </c>
      <c r="L7" s="56">
        <v>0.214</v>
      </c>
    </row>
    <row r="8" spans="1:12" ht="15" customHeight="1" x14ac:dyDescent="0.3">
      <c r="B8" s="11" t="s">
        <v>236</v>
      </c>
      <c r="C8" s="58">
        <v>6800</v>
      </c>
      <c r="D8" s="58">
        <v>7100</v>
      </c>
      <c r="E8" s="58">
        <v>480</v>
      </c>
      <c r="F8" s="59">
        <v>6.8000000000000005E-2</v>
      </c>
      <c r="G8" s="58">
        <v>260</v>
      </c>
      <c r="H8" s="59">
        <v>3.6999999999999998E-2</v>
      </c>
      <c r="I8" s="60" t="s">
        <v>237</v>
      </c>
      <c r="J8" s="60" t="s">
        <v>238</v>
      </c>
      <c r="K8" s="60" t="s">
        <v>239</v>
      </c>
      <c r="L8" s="59">
        <v>0.11799999999999999</v>
      </c>
    </row>
    <row r="9" spans="1:12" ht="15" customHeight="1" x14ac:dyDescent="0.3">
      <c r="B9" s="54" t="s">
        <v>240</v>
      </c>
      <c r="C9" s="55">
        <v>9200</v>
      </c>
      <c r="D9" s="55">
        <v>5000</v>
      </c>
      <c r="E9" s="55">
        <v>450</v>
      </c>
      <c r="F9" s="56">
        <v>0.09</v>
      </c>
      <c r="G9" s="55">
        <v>300</v>
      </c>
      <c r="H9" s="56">
        <v>0.06</v>
      </c>
      <c r="I9" s="57" t="s">
        <v>241</v>
      </c>
      <c r="J9" s="57" t="s">
        <v>242</v>
      </c>
      <c r="K9" s="57" t="s">
        <v>243</v>
      </c>
      <c r="L9" s="56">
        <v>0.186</v>
      </c>
    </row>
    <row r="10" spans="1:12" ht="15" customHeight="1" x14ac:dyDescent="0.3">
      <c r="B10" s="11" t="s">
        <v>244</v>
      </c>
      <c r="C10" s="58">
        <v>13200</v>
      </c>
      <c r="D10" s="58">
        <v>6800</v>
      </c>
      <c r="E10" s="58">
        <v>680</v>
      </c>
      <c r="F10" s="59">
        <v>0.1</v>
      </c>
      <c r="G10" s="58">
        <v>470</v>
      </c>
      <c r="H10" s="59">
        <v>6.9000000000000006E-2</v>
      </c>
      <c r="I10" s="60" t="s">
        <v>245</v>
      </c>
      <c r="J10" s="60" t="s">
        <v>246</v>
      </c>
      <c r="K10" s="60" t="s">
        <v>247</v>
      </c>
      <c r="L10" s="59">
        <v>0.223</v>
      </c>
    </row>
    <row r="11" spans="1:12" ht="15" customHeight="1" x14ac:dyDescent="0.3">
      <c r="B11" s="54" t="s">
        <v>248</v>
      </c>
      <c r="C11" s="55">
        <v>5100</v>
      </c>
      <c r="D11" s="55">
        <v>1100</v>
      </c>
      <c r="E11" s="55">
        <v>250</v>
      </c>
      <c r="F11" s="56">
        <v>0.22700000000000001</v>
      </c>
      <c r="G11" s="55">
        <v>190</v>
      </c>
      <c r="H11" s="56">
        <v>0.17299999999999999</v>
      </c>
      <c r="I11" s="57" t="s">
        <v>249</v>
      </c>
      <c r="J11" s="57" t="s">
        <v>250</v>
      </c>
      <c r="K11" s="57" t="s">
        <v>251</v>
      </c>
      <c r="L11" s="56">
        <v>0.30199999999999999</v>
      </c>
    </row>
    <row r="12" spans="1:12" ht="15" customHeight="1" x14ac:dyDescent="0.3">
      <c r="B12" s="11" t="s">
        <v>252</v>
      </c>
      <c r="C12" s="58">
        <v>5400</v>
      </c>
      <c r="D12" s="58">
        <v>5400</v>
      </c>
      <c r="E12" s="58">
        <v>420</v>
      </c>
      <c r="F12" s="59">
        <v>7.8E-2</v>
      </c>
      <c r="G12" s="58">
        <v>250</v>
      </c>
      <c r="H12" s="59">
        <v>4.5999999999999999E-2</v>
      </c>
      <c r="I12" s="60" t="s">
        <v>253</v>
      </c>
      <c r="J12" s="60" t="s">
        <v>254</v>
      </c>
      <c r="K12" s="60" t="s">
        <v>255</v>
      </c>
      <c r="L12" s="59">
        <v>0.14699999999999999</v>
      </c>
    </row>
    <row r="13" spans="1:12" ht="15" customHeight="1" x14ac:dyDescent="0.3">
      <c r="B13" s="61" t="s">
        <v>256</v>
      </c>
      <c r="C13" s="62">
        <f t="shared" ref="C13:H13" si="0">MEDIAN(C5:C12)</f>
        <v>11200</v>
      </c>
      <c r="D13" s="62">
        <f t="shared" si="0"/>
        <v>6950</v>
      </c>
      <c r="E13" s="62">
        <f t="shared" si="0"/>
        <v>580</v>
      </c>
      <c r="F13" s="63">
        <f t="shared" si="0"/>
        <v>8.7499999999999994E-2</v>
      </c>
      <c r="G13" s="62">
        <f t="shared" si="0"/>
        <v>385</v>
      </c>
      <c r="H13" s="63">
        <f t="shared" si="0"/>
        <v>5.6999999999999995E-2</v>
      </c>
      <c r="I13" s="64" t="s">
        <v>257</v>
      </c>
      <c r="J13" s="64" t="s">
        <v>257</v>
      </c>
      <c r="K13" s="64" t="s">
        <v>257</v>
      </c>
      <c r="L13" s="63">
        <f>MEDIAN(L5:L12)</f>
        <v>0.2</v>
      </c>
    </row>
    <row r="14" spans="1:12" ht="15" customHeight="1" x14ac:dyDescent="0.3">
      <c r="B14" s="65" t="s">
        <v>258</v>
      </c>
      <c r="C14" s="66">
        <f>Assumptions!C51*Assumptions!C48</f>
        <v>4464.79</v>
      </c>
      <c r="D14" s="66">
        <f>'P&amp;L'!G6</f>
        <v>5443</v>
      </c>
      <c r="E14" s="66">
        <f>'P&amp;L'!G16</f>
        <v>762.02000000000044</v>
      </c>
      <c r="F14" s="67">
        <f>'P&amp;L'!G17</f>
        <v>0.14000000000000007</v>
      </c>
      <c r="G14" s="66">
        <f>'P&amp;L'!G26</f>
        <v>473.26500000000033</v>
      </c>
      <c r="H14" s="67">
        <f>'P&amp;L'!G27</f>
        <v>8.6949292669483799E-2</v>
      </c>
      <c r="I14" s="68">
        <f>(C14+Assumptions!C47)/E14</f>
        <v>6.0258129707881647</v>
      </c>
      <c r="J14" s="68">
        <f>Assumptions!C51/('P&amp;L'!G29)</f>
        <v>9.4340168827189785</v>
      </c>
      <c r="K14" s="68">
        <f>C14/(BalanceSheet!G8)</f>
        <v>4.7802890792291217</v>
      </c>
      <c r="L14" s="69">
        <v>0.19800000000000001</v>
      </c>
    </row>
    <row r="16" spans="1:12" ht="15" customHeight="1" x14ac:dyDescent="0.3">
      <c r="B16" s="6" t="s">
        <v>259</v>
      </c>
      <c r="C16" s="6"/>
      <c r="D16" s="6"/>
      <c r="E16" s="6"/>
      <c r="F16" s="6"/>
      <c r="G16" s="6"/>
      <c r="H16" s="6"/>
      <c r="I16" s="6"/>
    </row>
    <row r="17" spans="2:9" ht="15" customHeight="1" x14ac:dyDescent="0.3">
      <c r="B17" s="17" t="s">
        <v>260</v>
      </c>
      <c r="C17" s="70">
        <f>17.9*'P&amp;L'!G16-Assumptions!C47</f>
        <v>13513.158000000007</v>
      </c>
      <c r="D17" s="71">
        <f>C17/Assumptions!C48*100</f>
        <v>332018.62407862424</v>
      </c>
      <c r="E17" s="1" t="s">
        <v>261</v>
      </c>
      <c r="F17" s="1"/>
      <c r="G17" s="1"/>
      <c r="H17" s="1"/>
      <c r="I17" s="1"/>
    </row>
    <row r="18" spans="2:9" ht="15" customHeight="1" x14ac:dyDescent="0.3">
      <c r="B18" s="17" t="s">
        <v>262</v>
      </c>
      <c r="C18" s="70">
        <f>Assumptions!C50*'P&amp;L'!G26</f>
        <v>13913.991000000009</v>
      </c>
      <c r="D18" s="71">
        <f>C18/Assumptions!C48*100</f>
        <v>341867.10073710093</v>
      </c>
      <c r="E18" s="1" t="s">
        <v>263</v>
      </c>
      <c r="F18" s="1"/>
      <c r="G18" s="1"/>
      <c r="H18" s="1"/>
      <c r="I18" s="1"/>
    </row>
    <row r="19" spans="2:9" ht="15" customHeight="1" x14ac:dyDescent="0.3">
      <c r="B19" s="17" t="s">
        <v>264</v>
      </c>
      <c r="C19" s="72">
        <f>AVERAGE(D17,D18)</f>
        <v>336942.86240786256</v>
      </c>
    </row>
    <row r="20" spans="2:9" ht="15" customHeight="1" x14ac:dyDescent="0.3">
      <c r="B20" s="17" t="s">
        <v>265</v>
      </c>
      <c r="C20" s="73">
        <f>(C19-Assumptions!C51)/Assumptions!C51</f>
        <v>306.14937320680269</v>
      </c>
    </row>
  </sheetData>
  <mergeCells count="5">
    <mergeCell ref="A1:L1"/>
    <mergeCell ref="A2:L2"/>
    <mergeCell ref="B16:I16"/>
    <mergeCell ref="E17:I17"/>
    <mergeCell ref="E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showGridLines="0" zoomScaleNormal="100" workbookViewId="0"/>
  </sheetViews>
  <sheetFormatPr defaultColWidth="8.6640625" defaultRowHeight="14.4" x14ac:dyDescent="0.3"/>
  <cols>
    <col min="1" max="1" width="3" style="9" customWidth="1"/>
    <col min="2" max="2" width="38" style="9" customWidth="1"/>
    <col min="3" max="10" width="14" style="9" customWidth="1"/>
  </cols>
  <sheetData>
    <row r="1" spans="1:10" ht="15" customHeight="1" x14ac:dyDescent="0.3">
      <c r="A1" s="2" t="s">
        <v>266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3">
      <c r="A2" s="6" t="s">
        <v>267</v>
      </c>
      <c r="B2" s="6"/>
      <c r="C2" s="6"/>
      <c r="D2" s="6"/>
      <c r="E2" s="6"/>
      <c r="F2" s="6"/>
      <c r="G2" s="6"/>
      <c r="H2" s="6"/>
      <c r="I2" s="6"/>
      <c r="J2" s="6"/>
    </row>
    <row r="4" spans="1:10" ht="15" customHeight="1" x14ac:dyDescent="0.3">
      <c r="B4" s="14" t="s">
        <v>118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6" t="s">
        <v>53</v>
      </c>
      <c r="I4" s="16" t="s">
        <v>54</v>
      </c>
      <c r="J4" s="16" t="s">
        <v>55</v>
      </c>
    </row>
    <row r="5" spans="1:10" ht="15" customHeight="1" x14ac:dyDescent="0.3">
      <c r="B5" s="6" t="s">
        <v>268</v>
      </c>
      <c r="C5" s="6"/>
      <c r="D5" s="6"/>
      <c r="E5" s="6"/>
      <c r="F5" s="6"/>
      <c r="G5" s="6"/>
      <c r="H5" s="6"/>
      <c r="I5" s="6"/>
      <c r="J5" s="6"/>
    </row>
    <row r="6" spans="1:10" ht="15" customHeight="1" x14ac:dyDescent="0.3">
      <c r="B6" s="13" t="s">
        <v>67</v>
      </c>
      <c r="C6" s="36">
        <f>('P&amp;L'!C6-'P&amp;L'!C11)/'P&amp;L'!C6</f>
        <v>0.21599999999999991</v>
      </c>
      <c r="D6" s="36">
        <f>('P&amp;L'!D6-'P&amp;L'!D11)/'P&amp;L'!D6</f>
        <v>0.24000000000000002</v>
      </c>
      <c r="E6" s="36">
        <f>('P&amp;L'!E6-'P&amp;L'!E11)/'P&amp;L'!E6</f>
        <v>0.26800000000000002</v>
      </c>
      <c r="F6" s="36">
        <f>('P&amp;L'!F6-'P&amp;L'!F11)/'P&amp;L'!F6</f>
        <v>0.28299999999999997</v>
      </c>
      <c r="G6" s="36">
        <f>('P&amp;L'!G6-'P&amp;L'!G11)/'P&amp;L'!G6</f>
        <v>0.27999999999999997</v>
      </c>
      <c r="H6" s="36">
        <f>('P&amp;L'!H6-'P&amp;L'!H11)/'P&amp;L'!H6</f>
        <v>0.29000000000000004</v>
      </c>
      <c r="I6" s="36">
        <f>('P&amp;L'!I6-'P&amp;L'!I11)/'P&amp;L'!I6</f>
        <v>0.29499999999999993</v>
      </c>
      <c r="J6" s="36">
        <f>('P&amp;L'!J6-'P&amp;L'!J11)/'P&amp;L'!J6</f>
        <v>0.3</v>
      </c>
    </row>
    <row r="7" spans="1:10" ht="15" customHeight="1" x14ac:dyDescent="0.3">
      <c r="B7" s="13" t="s">
        <v>269</v>
      </c>
      <c r="C7" s="36">
        <f>'P&amp;L'!C16/'P&amp;L'!C6</f>
        <v>7.0000000000000007E-2</v>
      </c>
      <c r="D7" s="36">
        <f>'P&amp;L'!D16/'P&amp;L'!D6</f>
        <v>0.10399999999999995</v>
      </c>
      <c r="E7" s="36">
        <f>'P&amp;L'!E16/'P&amp;L'!E6</f>
        <v>0.12700000000000006</v>
      </c>
      <c r="F7" s="36">
        <f>'P&amp;L'!F16/'P&amp;L'!F6</f>
        <v>0.14399999999999985</v>
      </c>
      <c r="G7" s="36">
        <f>'P&amp;L'!G16/'P&amp;L'!G6</f>
        <v>0.14000000000000007</v>
      </c>
      <c r="H7" s="36">
        <f>'P&amp;L'!H16/'P&amp;L'!H6</f>
        <v>0.15000000000000002</v>
      </c>
      <c r="I7" s="36">
        <f>'P&amp;L'!I16/'P&amp;L'!I6</f>
        <v>0.15799999999999992</v>
      </c>
      <c r="J7" s="36">
        <f>'P&amp;L'!J16/'P&amp;L'!J6</f>
        <v>0.16700000000000004</v>
      </c>
    </row>
    <row r="8" spans="1:10" ht="15" customHeight="1" x14ac:dyDescent="0.3">
      <c r="B8" s="13" t="s">
        <v>270</v>
      </c>
      <c r="C8" s="36">
        <f>'P&amp;L'!C19/'P&amp;L'!C6</f>
        <v>3.6157532195268051E-2</v>
      </c>
      <c r="D8" s="36">
        <f>'P&amp;L'!D19/'P&amp;L'!D6</f>
        <v>7.5003898635477531E-2</v>
      </c>
      <c r="E8" s="36">
        <f>'P&amp;L'!E19/'P&amp;L'!E6</f>
        <v>9.8706864564007485E-2</v>
      </c>
      <c r="F8" s="36">
        <f>'P&amp;L'!F19/'P&amp;L'!F6</f>
        <v>0.11789720760825562</v>
      </c>
      <c r="G8" s="36">
        <f>'P&amp;L'!G19/'P&amp;L'!G6</f>
        <v>0.11740216792210187</v>
      </c>
      <c r="H8" s="36">
        <f>'P&amp;L'!H19/'P&amp;L'!H6</f>
        <v>0.12785796293258983</v>
      </c>
      <c r="I8" s="36">
        <f>'P&amp;L'!I19/'P&amp;L'!I6</f>
        <v>0.13603806734992671</v>
      </c>
      <c r="J8" s="36">
        <f>'P&amp;L'!J19/'P&amp;L'!J6</f>
        <v>0.14543137254901964</v>
      </c>
    </row>
    <row r="9" spans="1:10" ht="15" customHeight="1" x14ac:dyDescent="0.3">
      <c r="B9" s="13" t="s">
        <v>271</v>
      </c>
      <c r="C9" s="36">
        <f>'P&amp;L'!C23/'P&amp;L'!C6</f>
        <v>3.4360587002096439E-2</v>
      </c>
      <c r="D9" s="36">
        <f>'P&amp;L'!D23/'P&amp;L'!D6</f>
        <v>7.3298245614035043E-2</v>
      </c>
      <c r="E9" s="36">
        <f>'P&amp;L'!E23/'P&amp;L'!E6</f>
        <v>9.91706864564008E-2</v>
      </c>
      <c r="F9" s="36">
        <f>'P&amp;L'!F23/'P&amp;L'!F6</f>
        <v>0.11951598543099944</v>
      </c>
      <c r="G9" s="36">
        <f>'P&amp;L'!G23/'P&amp;L'!G6</f>
        <v>0.1159323902259784</v>
      </c>
      <c r="H9" s="36">
        <f>'P&amp;L'!H23/'P&amp;L'!H6</f>
        <v>0.12917008364769561</v>
      </c>
      <c r="I9" s="36">
        <f>'P&amp;L'!I23/'P&amp;L'!I6</f>
        <v>0.13823426061493402</v>
      </c>
      <c r="J9" s="36">
        <f>'P&amp;L'!J23/'P&amp;L'!J6</f>
        <v>0.14830718954248368</v>
      </c>
    </row>
    <row r="10" spans="1:10" ht="15" customHeight="1" x14ac:dyDescent="0.3">
      <c r="B10" s="13" t="s">
        <v>272</v>
      </c>
      <c r="C10" s="36">
        <f>'P&amp;L'!C26/'P&amp;L'!C6</f>
        <v>4.5699580712788269E-2</v>
      </c>
      <c r="D10" s="36">
        <f>'P&amp;L'!D26/'P&amp;L'!D6</f>
        <v>3.6649122807017522E-2</v>
      </c>
      <c r="E10" s="36">
        <f>'P&amp;L'!E26/'P&amp;L'!E6</f>
        <v>7.5369721706864609E-2</v>
      </c>
      <c r="F10" s="36">
        <f>'P&amp;L'!F26/'P&amp;L'!F6</f>
        <v>8.9636989073249573E-2</v>
      </c>
      <c r="G10" s="36">
        <f>'P&amp;L'!G26/'P&amp;L'!G6</f>
        <v>8.6949292669483799E-2</v>
      </c>
      <c r="H10" s="36">
        <f>'P&amp;L'!H26/'P&amp;L'!H6</f>
        <v>9.5585861899294758E-2</v>
      </c>
      <c r="I10" s="36">
        <f>'P&amp;L'!I26/'P&amp;L'!I6</f>
        <v>0.10229335285505117</v>
      </c>
      <c r="J10" s="36">
        <f>'P&amp;L'!J26/'P&amp;L'!J6</f>
        <v>0.10974732026143792</v>
      </c>
    </row>
    <row r="11" spans="1:10" ht="15" customHeight="1" x14ac:dyDescent="0.3">
      <c r="B11" s="13" t="s">
        <v>273</v>
      </c>
      <c r="C11" s="36">
        <f>'P&amp;L'!C26/BalanceSheet!C8</f>
        <v>0.23954615384615391</v>
      </c>
      <c r="D11" s="36">
        <f>'P&amp;L'!D26/BalanceSheet!D8</f>
        <v>0.22928048780487789</v>
      </c>
      <c r="E11" s="36">
        <f>'P&amp;L'!E26/BalanceSheet!E8</f>
        <v>0.44765046831955951</v>
      </c>
      <c r="F11" s="36">
        <f>'P&amp;L'!F26/BalanceSheet!F8</f>
        <v>0.51630069930069866</v>
      </c>
      <c r="G11" s="36">
        <f>'P&amp;L'!G26/BalanceSheet!G8</f>
        <v>0.5067077087794436</v>
      </c>
      <c r="H11" s="36">
        <f>'P&amp;L'!H26/BalanceSheet!H8</f>
        <v>0.52267892376681624</v>
      </c>
      <c r="I11" s="36">
        <f>'P&amp;L'!I26/BalanceSheet!I8</f>
        <v>0.51906656760772629</v>
      </c>
      <c r="J11" s="36">
        <f>'P&amp;L'!J26/BalanceSheet!J8</f>
        <v>0.51130755176613896</v>
      </c>
    </row>
    <row r="12" spans="1:10" ht="15" customHeight="1" x14ac:dyDescent="0.3">
      <c r="B12" s="13" t="s">
        <v>274</v>
      </c>
      <c r="C12" s="36">
        <f>'P&amp;L'!C19/(BalanceSheet!C8+BalanceSheet!C9)</f>
        <v>0.14633939393939396</v>
      </c>
      <c r="D12" s="36">
        <f>'P&amp;L'!D19/(BalanceSheet!D8+BalanceSheet!D9)</f>
        <v>0.37356310679611626</v>
      </c>
      <c r="E12" s="36">
        <f>'P&amp;L'!E19/(BalanceSheet!E8+BalanceSheet!E9)</f>
        <v>0.54848453608247461</v>
      </c>
      <c r="F12" s="36">
        <f>'P&amp;L'!F19/(BalanceSheet!F8+BalanceSheet!F9)</f>
        <v>0.58972469635627456</v>
      </c>
      <c r="G12" s="36">
        <f>'P&amp;L'!G19/(BalanceSheet!G8+BalanceSheet!G9)</f>
        <v>0.63019723865877753</v>
      </c>
      <c r="H12" s="36">
        <f>'P&amp;L'!H19/(BalanceSheet!H8+BalanceSheet!H9)</f>
        <v>0.65784810126582294</v>
      </c>
      <c r="I12" s="36">
        <f>'P&amp;L'!I19/(BalanceSheet!I8+BalanceSheet!I9)</f>
        <v>0.66083926031294415</v>
      </c>
      <c r="J12" s="36">
        <f>'P&amp;L'!J19/(BalanceSheet!J8+BalanceSheet!J9)</f>
        <v>0.65753546099290794</v>
      </c>
    </row>
    <row r="14" spans="1:10" ht="15" customHeight="1" x14ac:dyDescent="0.3">
      <c r="B14" s="6" t="s">
        <v>275</v>
      </c>
      <c r="C14" s="6"/>
      <c r="D14" s="6"/>
      <c r="E14" s="6"/>
      <c r="F14" s="6"/>
      <c r="G14" s="6"/>
      <c r="H14" s="6"/>
      <c r="I14" s="6"/>
      <c r="J14" s="6"/>
    </row>
    <row r="15" spans="1:10" ht="15" customHeight="1" x14ac:dyDescent="0.3">
      <c r="B15" s="13" t="s">
        <v>276</v>
      </c>
      <c r="C15" s="74">
        <f>BalanceSheet!C28/BalanceSheet!C15</f>
        <v>1.1224466901035473</v>
      </c>
      <c r="D15" s="74">
        <f>BalanceSheet!D28/BalanceSheet!D15</f>
        <v>1.1449929570658361</v>
      </c>
      <c r="E15" s="74">
        <f>BalanceSheet!E28/BalanceSheet!E15</f>
        <v>1.0096271503315741</v>
      </c>
      <c r="F15" s="74">
        <f>BalanceSheet!F28/BalanceSheet!F15</f>
        <v>1.0468108056463996</v>
      </c>
      <c r="G15" s="74">
        <f>BalanceSheet!G28/BalanceSheet!G15</f>
        <v>1.0007944587467235</v>
      </c>
      <c r="H15" s="74">
        <f>BalanceSheet!H28/BalanceSheet!H15</f>
        <v>0.97260221970329308</v>
      </c>
      <c r="I15" s="74">
        <f>BalanceSheet!I28/BalanceSheet!I15</f>
        <v>0.96935734901360615</v>
      </c>
      <c r="J15" s="74">
        <f>BalanceSheet!J28/BalanceSheet!J15</f>
        <v>1.003921057434106</v>
      </c>
    </row>
    <row r="16" spans="1:10" ht="15" customHeight="1" x14ac:dyDescent="0.3">
      <c r="B16" s="13" t="s">
        <v>277</v>
      </c>
      <c r="C16" s="74">
        <f>(BalanceSheet!C9+BalanceSheet!C12)/BalanceSheet!C8</f>
        <v>0.56043956043956045</v>
      </c>
      <c r="D16" s="74">
        <f>(BalanceSheet!D9+BalanceSheet!D12)/BalanceSheet!D8</f>
        <v>0.53048780487804881</v>
      </c>
      <c r="E16" s="74">
        <f>(BalanceSheet!E9+BalanceSheet!E12)/BalanceSheet!E8</f>
        <v>0.2231404958677686</v>
      </c>
      <c r="F16" s="74">
        <f>(BalanceSheet!F9+BalanceSheet!F12)/BalanceSheet!F8</f>
        <v>0.29020979020979021</v>
      </c>
      <c r="G16" s="74">
        <f>(BalanceSheet!G9+BalanceSheet!G12)/BalanceSheet!G8</f>
        <v>0.17558886509635974</v>
      </c>
      <c r="H16" s="74">
        <f>(BalanceSheet!H9+BalanceSheet!H12)/BalanceSheet!H8</f>
        <v>0.14349775784753363</v>
      </c>
      <c r="I16" s="74">
        <f>(BalanceSheet!I9+BalanceSheet!I12)/BalanceSheet!I8</f>
        <v>0.10401188707280833</v>
      </c>
      <c r="J16" s="74">
        <f>(BalanceSheet!J9+BalanceSheet!J12)/BalanceSheet!J8</f>
        <v>7.3081607795371498E-2</v>
      </c>
    </row>
    <row r="17" spans="2:10" ht="15" customHeight="1" x14ac:dyDescent="0.3">
      <c r="B17" s="13" t="s">
        <v>278</v>
      </c>
      <c r="C17" s="75">
        <f>IF(Assumptions!C20&gt;0,'P&amp;L'!C19/Assumptions!C20,0)</f>
        <v>3.5508823529411768</v>
      </c>
      <c r="D17" s="75">
        <f>IF(Assumptions!D20&gt;0,'P&amp;L'!D19/Assumptions!D20,0)</f>
        <v>9.3277575757575697</v>
      </c>
      <c r="E17" s="75">
        <f>IF(Assumptions!E20&gt;0,'P&amp;L'!E19/Assumptions!E20,0)</f>
        <v>14.187466666666674</v>
      </c>
      <c r="F17" s="75">
        <f>IF(Assumptions!F20&gt;0,'P&amp;L'!F19/Assumptions!F20,0)</f>
        <v>21.579555555555526</v>
      </c>
      <c r="G17" s="75">
        <f>IF(Assumptions!G20&gt;0,'P&amp;L'!G19/Assumptions!G20,0)</f>
        <v>26.62583333333335</v>
      </c>
      <c r="H17" s="75">
        <f>IF(Assumptions!H20&gt;0,'P&amp;L'!H19/Assumptions!H20,0)</f>
        <v>32.48125000000001</v>
      </c>
      <c r="I17" s="75">
        <f>IF(Assumptions!I20&gt;0,'P&amp;L'!I19/Assumptions!I20,0)</f>
        <v>44.24476190476188</v>
      </c>
      <c r="J17" s="75">
        <f>IF(Assumptions!J20&gt;0,'P&amp;L'!J19/Assumptions!J20,0)</f>
        <v>61.808333333333344</v>
      </c>
    </row>
    <row r="19" spans="2:10" ht="15" customHeight="1" x14ac:dyDescent="0.3">
      <c r="B19" s="6" t="s">
        <v>279</v>
      </c>
      <c r="C19" s="6"/>
      <c r="D19" s="6"/>
      <c r="E19" s="6"/>
      <c r="F19" s="6"/>
      <c r="G19" s="6"/>
      <c r="H19" s="6"/>
      <c r="I19" s="6"/>
      <c r="J19" s="6"/>
    </row>
    <row r="20" spans="2:10" ht="15" customHeight="1" x14ac:dyDescent="0.3">
      <c r="B20" s="13" t="s">
        <v>86</v>
      </c>
      <c r="C20" s="76">
        <f>Assumptions!C27</f>
        <v>32</v>
      </c>
      <c r="D20" s="76">
        <f>Assumptions!D27</f>
        <v>35</v>
      </c>
      <c r="E20" s="76">
        <f>Assumptions!E27</f>
        <v>37</v>
      </c>
      <c r="F20" s="76">
        <f>Assumptions!F27</f>
        <v>30</v>
      </c>
      <c r="G20" s="76">
        <f>Assumptions!G27</f>
        <v>30</v>
      </c>
      <c r="H20" s="76">
        <f>Assumptions!H27</f>
        <v>30</v>
      </c>
      <c r="I20" s="76">
        <f>Assumptions!I27</f>
        <v>29</v>
      </c>
      <c r="J20" s="76">
        <f>Assumptions!J27</f>
        <v>29</v>
      </c>
    </row>
    <row r="21" spans="2:10" ht="15" customHeight="1" x14ac:dyDescent="0.3">
      <c r="B21" s="13" t="s">
        <v>87</v>
      </c>
      <c r="C21" s="76">
        <f>Assumptions!C28</f>
        <v>104</v>
      </c>
      <c r="D21" s="76">
        <f>Assumptions!D28</f>
        <v>83</v>
      </c>
      <c r="E21" s="76">
        <f>Assumptions!E28</f>
        <v>77</v>
      </c>
      <c r="F21" s="76">
        <f>Assumptions!F28</f>
        <v>81</v>
      </c>
      <c r="G21" s="76">
        <f>Assumptions!G28</f>
        <v>80</v>
      </c>
      <c r="H21" s="76">
        <f>Assumptions!H28</f>
        <v>79</v>
      </c>
      <c r="I21" s="76">
        <f>Assumptions!I28</f>
        <v>78</v>
      </c>
      <c r="J21" s="76">
        <f>Assumptions!J28</f>
        <v>77</v>
      </c>
    </row>
    <row r="22" spans="2:10" ht="15" customHeight="1" x14ac:dyDescent="0.3">
      <c r="B22" s="13" t="s">
        <v>88</v>
      </c>
      <c r="C22" s="76">
        <f>Assumptions!C29</f>
        <v>145</v>
      </c>
      <c r="D22" s="76">
        <f>Assumptions!D29</f>
        <v>119</v>
      </c>
      <c r="E22" s="76">
        <f>Assumptions!E29</f>
        <v>137</v>
      </c>
      <c r="F22" s="76">
        <f>Assumptions!F29</f>
        <v>113</v>
      </c>
      <c r="G22" s="76">
        <f>Assumptions!G29</f>
        <v>115</v>
      </c>
      <c r="H22" s="76">
        <f>Assumptions!H29</f>
        <v>115</v>
      </c>
      <c r="I22" s="76">
        <f>Assumptions!I29</f>
        <v>115</v>
      </c>
      <c r="J22" s="76">
        <f>Assumptions!J29</f>
        <v>115</v>
      </c>
    </row>
    <row r="23" spans="2:10" ht="15" customHeight="1" x14ac:dyDescent="0.3">
      <c r="B23" s="13" t="s">
        <v>280</v>
      </c>
      <c r="C23" s="76">
        <f>Assumptions!C27+Assumptions!C28-Assumptions!C29</f>
        <v>-9</v>
      </c>
      <c r="D23" s="76">
        <f>Assumptions!D27+Assumptions!D28-Assumptions!D29</f>
        <v>-1</v>
      </c>
      <c r="E23" s="76">
        <f>Assumptions!E27+Assumptions!E28-Assumptions!E29</f>
        <v>-23</v>
      </c>
      <c r="F23" s="76">
        <f>Assumptions!F27+Assumptions!F28-Assumptions!F29</f>
        <v>-2</v>
      </c>
      <c r="G23" s="76">
        <f>Assumptions!G27+Assumptions!G28-Assumptions!G29</f>
        <v>-5</v>
      </c>
      <c r="H23" s="76">
        <f>Assumptions!H27+Assumptions!H28-Assumptions!H29</f>
        <v>-6</v>
      </c>
      <c r="I23" s="76">
        <f>Assumptions!I27+Assumptions!I28-Assumptions!I29</f>
        <v>-8</v>
      </c>
      <c r="J23" s="76">
        <f>Assumptions!J27+Assumptions!J28-Assumptions!J29</f>
        <v>-9</v>
      </c>
    </row>
    <row r="25" spans="2:10" ht="15" customHeight="1" x14ac:dyDescent="0.3">
      <c r="B25" s="6" t="s">
        <v>281</v>
      </c>
      <c r="C25" s="6"/>
      <c r="D25" s="6"/>
      <c r="E25" s="6"/>
      <c r="F25" s="6"/>
      <c r="G25" s="6"/>
      <c r="H25" s="6"/>
      <c r="I25" s="6"/>
      <c r="J25" s="6"/>
    </row>
    <row r="26" spans="2:10" ht="15" customHeight="1" x14ac:dyDescent="0.3">
      <c r="B26" s="13" t="s">
        <v>144</v>
      </c>
      <c r="C26" s="77">
        <f>'P&amp;L'!C29</f>
        <v>37.491621621621626</v>
      </c>
      <c r="D26" s="77">
        <f>'P&amp;L'!D29</f>
        <v>36.95528255528253</v>
      </c>
      <c r="E26" s="77">
        <f>'P&amp;L'!E29</f>
        <v>79.851164619164663</v>
      </c>
      <c r="F26" s="77">
        <f>'P&amp;L'!F29</f>
        <v>108.8417690417689</v>
      </c>
      <c r="G26" s="77">
        <f>'P&amp;L'!G29</f>
        <v>116.28132678132685</v>
      </c>
      <c r="H26" s="77">
        <f>'P&amp;L'!H29</f>
        <v>143.19090909090912</v>
      </c>
      <c r="I26" s="77">
        <f>'P&amp;L'!I29</f>
        <v>171.66181818181806</v>
      </c>
      <c r="J26" s="77">
        <f>'P&amp;L'!J29</f>
        <v>206.28181818181821</v>
      </c>
    </row>
    <row r="27" spans="2:10" ht="15" customHeight="1" x14ac:dyDescent="0.3">
      <c r="B27" s="13" t="s">
        <v>282</v>
      </c>
      <c r="C27" s="75">
        <f>IF('P&amp;L'!C29&gt;0,Assumptions!C51/'P&amp;L'!C29,0)</f>
        <v>29.259870673808198</v>
      </c>
      <c r="D27" s="75">
        <f>IF('P&amp;L'!D29&gt;0,Assumptions!C51/'P&amp;L'!D29,0)</f>
        <v>29.684524759321334</v>
      </c>
      <c r="E27" s="75">
        <f>IF('P&amp;L'!E29&gt;0,Assumptions!C51/'P&amp;L'!E29,0)</f>
        <v>13.738058865289421</v>
      </c>
      <c r="F27" s="75">
        <f>IF('P&amp;L'!F29&gt;0,Assumptions!C51/'P&amp;L'!F29,0)</f>
        <v>10.078851250378129</v>
      </c>
      <c r="G27" s="75">
        <f>IF('P&amp;L'!G29&gt;0,Assumptions!C51/'P&amp;L'!G29,0)</f>
        <v>9.4340168827189785</v>
      </c>
      <c r="H27" s="75">
        <f>IF('P&amp;L'!H29&gt;0,Assumptions!C51/'P&amp;L'!H29,0)</f>
        <v>7.6611008824836508</v>
      </c>
      <c r="I27" s="75">
        <f>IF('P&amp;L'!I29&gt;0,Assumptions!C51/'P&amp;L'!I29,0)</f>
        <v>6.3904717520706722</v>
      </c>
      <c r="J27" s="75">
        <f>IF('P&amp;L'!J29&gt;0,Assumptions!C51/'P&amp;L'!J29,0)</f>
        <v>5.3179674760918418</v>
      </c>
    </row>
    <row r="28" spans="2:10" ht="15" customHeight="1" x14ac:dyDescent="0.3">
      <c r="B28" s="13" t="s">
        <v>283</v>
      </c>
      <c r="C28" s="75">
        <f>(Assumptions!C51*Assumptions!C48)*100/BalanceSheet!C8/100</f>
        <v>7.0090894819466243</v>
      </c>
      <c r="D28" s="75">
        <f>(Assumptions!C51*Assumptions!C48)*100/BalanceSheet!D8/100</f>
        <v>6.8060823170731704</v>
      </c>
      <c r="E28" s="75">
        <f>(Assumptions!C51*Assumptions!C48)*100/BalanceSheet!E8/100</f>
        <v>6.1498484848484853</v>
      </c>
      <c r="F28" s="75">
        <f>(Assumptions!C51*Assumptions!C48)*100/BalanceSheet!F8/100</f>
        <v>5.2037179487179488</v>
      </c>
      <c r="G28" s="75">
        <f>(Assumptions!C51*Assumptions!C48)*100/BalanceSheet!G8/100</f>
        <v>4.7802890792291217</v>
      </c>
      <c r="H28" s="75">
        <f>(Assumptions!C51*Assumptions!C48)*100/BalanceSheet!H8/100</f>
        <v>4.0042959641255607</v>
      </c>
      <c r="I28" s="75">
        <f>(Assumptions!C51*Assumptions!C48)*100/BalanceSheet!I8/100</f>
        <v>3.3170802377414561</v>
      </c>
      <c r="J28" s="75">
        <f>(Assumptions!C51*Assumptions!C48)*100/BalanceSheet!J8/100</f>
        <v>2.7191169305724725</v>
      </c>
    </row>
    <row r="29" spans="2:10" ht="15" customHeight="1" x14ac:dyDescent="0.3">
      <c r="B29" s="13" t="s">
        <v>284</v>
      </c>
      <c r="C29" s="75">
        <f>IF('P&amp;L'!C16&gt;0,((Assumptions!C51*Assumptions!C48)+Assumptions!C47)*100/'P&amp;L'!C16/100,0)</f>
        <v>19.645702306079663</v>
      </c>
      <c r="D29" s="75">
        <f>IF('P&amp;L'!D16&gt;0,((Assumptions!C51*Assumptions!C48)+Assumptions!C47)*100/'P&amp;L'!D16/100,0)</f>
        <v>10.758242427650327</v>
      </c>
      <c r="E29" s="75">
        <f>IF('P&amp;L'!E16&gt;0,((Assumptions!C51*Assumptions!C48)+Assumptions!C47)*100/'P&amp;L'!E16/100,0)</f>
        <v>8.384931997136718</v>
      </c>
      <c r="F29" s="75">
        <f>IF('P&amp;L'!F16&gt;0,((Assumptions!C51*Assumptions!C48)+Assumptions!C47)*100/'P&amp;L'!F16/100,0)</f>
        <v>6.4523331759521634</v>
      </c>
      <c r="G29" s="75">
        <f>IF('P&amp;L'!G16&gt;0,((Assumptions!C51*Assumptions!C48)+Assumptions!C47)*100/'P&amp;L'!G16/100,0)</f>
        <v>6.0258129707881656</v>
      </c>
      <c r="H29" s="75">
        <f>IF('P&amp;L'!H16&gt;0,((Assumptions!C51*Assumptions!C48)+Assumptions!C47)*100/'P&amp;L'!H16/100,0)</f>
        <v>5.0208189820130107</v>
      </c>
      <c r="I29" s="75">
        <f>IF('P&amp;L'!I16&gt;0,((Assumptions!C51*Assumptions!C48)+Assumptions!C47)*100/'P&amp;L'!I16/100,0)</f>
        <v>4.2550456845265696</v>
      </c>
      <c r="J29" s="75">
        <f>IF('P&amp;L'!J16&gt;0,((Assumptions!C51*Assumptions!C48)+Assumptions!C47)*100/'P&amp;L'!J16/100,0)</f>
        <v>3.5942154905874522</v>
      </c>
    </row>
  </sheetData>
  <mergeCells count="6">
    <mergeCell ref="B25:J25"/>
    <mergeCell ref="A1:J1"/>
    <mergeCell ref="A2:J2"/>
    <mergeCell ref="B5:J5"/>
    <mergeCell ref="B14:J14"/>
    <mergeCell ref="B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showGridLines="0" zoomScaleNormal="100" workbookViewId="0"/>
  </sheetViews>
  <sheetFormatPr defaultColWidth="8.6640625" defaultRowHeight="14.4" x14ac:dyDescent="0.3"/>
  <cols>
    <col min="1" max="1" width="3" style="9" customWidth="1"/>
    <col min="2" max="2" width="42" style="9" customWidth="1"/>
    <col min="3" max="10" width="15" style="9" customWidth="1"/>
  </cols>
  <sheetData>
    <row r="1" spans="1:10" ht="15" customHeight="1" x14ac:dyDescent="0.3">
      <c r="A1" s="2" t="s">
        <v>285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3">
      <c r="A2" s="6" t="s">
        <v>286</v>
      </c>
      <c r="B2" s="6"/>
      <c r="C2" s="6"/>
      <c r="D2" s="6"/>
      <c r="E2" s="6"/>
      <c r="F2" s="6"/>
      <c r="G2" s="6"/>
      <c r="H2" s="6"/>
      <c r="I2" s="6"/>
      <c r="J2" s="6"/>
    </row>
    <row r="4" spans="1:10" ht="15" customHeight="1" x14ac:dyDescent="0.3">
      <c r="B4" s="14" t="s">
        <v>118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6" t="s">
        <v>53</v>
      </c>
      <c r="I4" s="16" t="s">
        <v>54</v>
      </c>
      <c r="J4" s="16" t="s">
        <v>55</v>
      </c>
    </row>
    <row r="5" spans="1:10" ht="15" customHeight="1" x14ac:dyDescent="0.3">
      <c r="B5" s="6" t="s">
        <v>287</v>
      </c>
      <c r="C5" s="6"/>
      <c r="D5" s="6"/>
      <c r="E5" s="6"/>
      <c r="F5" s="6"/>
      <c r="G5" s="6"/>
      <c r="H5" s="6"/>
      <c r="I5" s="6"/>
      <c r="J5" s="6"/>
    </row>
    <row r="6" spans="1:10" ht="15" customHeight="1" x14ac:dyDescent="0.3">
      <c r="B6" s="31" t="s">
        <v>288</v>
      </c>
      <c r="C6" s="32">
        <f>Assumptions!C7</f>
        <v>2720</v>
      </c>
      <c r="D6" s="32">
        <f>Assumptions!D7</f>
        <v>3416</v>
      </c>
      <c r="E6" s="32">
        <f>Assumptions!E7</f>
        <v>3609</v>
      </c>
      <c r="F6" s="32">
        <f>Assumptions!F7</f>
        <v>4086</v>
      </c>
      <c r="G6" s="32">
        <f>Assumptions!G7</f>
        <v>4362</v>
      </c>
      <c r="H6" s="32">
        <f>Assumptions!H7</f>
        <v>4900</v>
      </c>
      <c r="I6" s="32">
        <f>Assumptions!I7</f>
        <v>5500</v>
      </c>
      <c r="J6" s="32">
        <f>Assumptions!J7</f>
        <v>6160</v>
      </c>
    </row>
    <row r="7" spans="1:10" ht="15" customHeight="1" x14ac:dyDescent="0.3">
      <c r="B7" s="13" t="s">
        <v>289</v>
      </c>
      <c r="C7" s="36" t="s">
        <v>124</v>
      </c>
      <c r="D7" s="36">
        <f>(Assumptions!D7-Assumptions!C7)/Assumptions!C7</f>
        <v>0.25588235294117645</v>
      </c>
      <c r="E7" s="36">
        <f>(Assumptions!E7-Assumptions!D7)/Assumptions!D7</f>
        <v>5.6498829039812647E-2</v>
      </c>
      <c r="F7" s="36">
        <f>(Assumptions!F7-Assumptions!E7)/Assumptions!E7</f>
        <v>0.13216957605985039</v>
      </c>
      <c r="G7" s="36">
        <f>(Assumptions!G7-Assumptions!F7)/Assumptions!F7</f>
        <v>6.7547723935389131E-2</v>
      </c>
      <c r="H7" s="36">
        <f>(Assumptions!H7-Assumptions!G7)/Assumptions!G7</f>
        <v>0.12333791838606144</v>
      </c>
      <c r="I7" s="36">
        <f>(Assumptions!I7-Assumptions!H7)/Assumptions!H7</f>
        <v>0.12244897959183673</v>
      </c>
      <c r="J7" s="36">
        <f>(Assumptions!J7-Assumptions!I7)/Assumptions!I7</f>
        <v>0.12</v>
      </c>
    </row>
    <row r="8" spans="1:10" ht="15" customHeight="1" x14ac:dyDescent="0.3">
      <c r="B8" s="13" t="s">
        <v>290</v>
      </c>
      <c r="C8" s="36">
        <f>Assumptions!C7/'P&amp;L'!C6</f>
        <v>0.81461515423779574</v>
      </c>
      <c r="D8" s="36">
        <f>Assumptions!D7/'P&amp;L'!D6</f>
        <v>0.83235867446393763</v>
      </c>
      <c r="E8" s="36">
        <f>Assumptions!E7/'P&amp;L'!E6</f>
        <v>0.83696660482374763</v>
      </c>
      <c r="F8" s="36">
        <f>Assumptions!F7/'P&amp;L'!F6</f>
        <v>0.82679077296641035</v>
      </c>
      <c r="G8" s="36">
        <f>Assumptions!G7/'P&amp;L'!G6</f>
        <v>0.8013962888113173</v>
      </c>
      <c r="H8" s="36">
        <f>Assumptions!H7/'P&amp;L'!H6</f>
        <v>0.80367393800229625</v>
      </c>
      <c r="I8" s="36">
        <f>Assumptions!I7/'P&amp;L'!I6</f>
        <v>0.80527086383601754</v>
      </c>
      <c r="J8" s="36">
        <f>Assumptions!J7/'P&amp;L'!J6</f>
        <v>0.80522875816993467</v>
      </c>
    </row>
    <row r="9" spans="1:10" ht="15" customHeight="1" x14ac:dyDescent="0.3">
      <c r="B9" s="78" t="s">
        <v>291</v>
      </c>
      <c r="C9" s="79">
        <f>'P&amp;L'!C19*0.8</f>
        <v>96.584000000000017</v>
      </c>
      <c r="D9" s="79">
        <f>'P&amp;L'!D19*0.8</f>
        <v>246.25279999999987</v>
      </c>
      <c r="E9" s="79">
        <f>'P&amp;L'!E19*0.8</f>
        <v>340.4992000000002</v>
      </c>
      <c r="F9" s="79">
        <f>'P&amp;L'!F19*0.8</f>
        <v>466.11839999999938</v>
      </c>
      <c r="G9" s="79">
        <f>'P&amp;L'!G19*0.8</f>
        <v>511.21600000000035</v>
      </c>
      <c r="H9" s="79">
        <f>'P&amp;L'!H19*0.8</f>
        <v>623.64000000000021</v>
      </c>
      <c r="I9" s="79">
        <f>'P&amp;L'!I19*0.8</f>
        <v>743.31199999999956</v>
      </c>
      <c r="J9" s="79">
        <f>'P&amp;L'!J19*0.8</f>
        <v>890.04000000000019</v>
      </c>
    </row>
    <row r="10" spans="1:10" ht="15" customHeight="1" x14ac:dyDescent="0.3">
      <c r="B10" s="78" t="s">
        <v>135</v>
      </c>
      <c r="C10" s="80">
        <f>Segments!C9/Assumptions!C7</f>
        <v>3.5508823529411773E-2</v>
      </c>
      <c r="D10" s="80">
        <f>Segments!D9/Assumptions!D7</f>
        <v>7.2088056206088949E-2</v>
      </c>
      <c r="E10" s="80">
        <f>Segments!E9/Assumptions!E7</f>
        <v>9.4347243003602158E-2</v>
      </c>
      <c r="F10" s="80">
        <f>Segments!F9/Assumptions!F7</f>
        <v>0.11407694566813495</v>
      </c>
      <c r="G10" s="80">
        <f>Segments!G9/Assumptions!G7</f>
        <v>0.11719761577258146</v>
      </c>
      <c r="H10" s="80">
        <f>Segments!H9/Assumptions!H7</f>
        <v>0.12727346938775513</v>
      </c>
      <c r="I10" s="80">
        <f>Segments!I9/Assumptions!I7</f>
        <v>0.13514763636363628</v>
      </c>
      <c r="J10" s="80">
        <f>Segments!J9/Assumptions!J7</f>
        <v>0.14448701298701302</v>
      </c>
    </row>
    <row r="11" spans="1:10" ht="15" customHeight="1" x14ac:dyDescent="0.3">
      <c r="B11" s="6" t="s">
        <v>292</v>
      </c>
      <c r="C11" s="6"/>
      <c r="D11" s="6"/>
      <c r="E11" s="6"/>
      <c r="F11" s="6"/>
      <c r="G11" s="6"/>
      <c r="H11" s="6"/>
      <c r="I11" s="6"/>
      <c r="J11" s="6"/>
    </row>
    <row r="12" spans="1:10" ht="15" customHeight="1" x14ac:dyDescent="0.3">
      <c r="B12" s="13" t="s">
        <v>293</v>
      </c>
      <c r="C12" s="37">
        <f>Assumptions!C7*0.5</f>
        <v>1360</v>
      </c>
      <c r="D12" s="37">
        <f>Assumptions!D7*0.477</f>
        <v>1629.432</v>
      </c>
      <c r="E12" s="37">
        <f>Assumptions!E7*0.46</f>
        <v>1660.14</v>
      </c>
      <c r="F12" s="37">
        <f>Assumptions!F7*0.44</f>
        <v>1797.84</v>
      </c>
      <c r="G12" s="37">
        <f>Assumptions!G7*0.436</f>
        <v>1901.8320000000001</v>
      </c>
      <c r="H12" s="37">
        <f>Assumptions!H7*0.43</f>
        <v>2107</v>
      </c>
      <c r="I12" s="37">
        <f>Assumptions!I7*0.42</f>
        <v>2310</v>
      </c>
      <c r="J12" s="37">
        <f>Assumptions!J7*0.41</f>
        <v>2525.6</v>
      </c>
    </row>
    <row r="13" spans="1:10" ht="15" customHeight="1" x14ac:dyDescent="0.3">
      <c r="B13" s="13" t="s">
        <v>294</v>
      </c>
      <c r="C13" s="37">
        <f>Assumptions!C7*0.235</f>
        <v>639.19999999999993</v>
      </c>
      <c r="D13" s="37">
        <f>Assumptions!D7*0.24</f>
        <v>819.83999999999992</v>
      </c>
      <c r="E13" s="37">
        <f>Assumptions!E7*0.249</f>
        <v>898.64099999999996</v>
      </c>
      <c r="F13" s="37">
        <f>Assumptions!F7*0.247</f>
        <v>1009.242</v>
      </c>
      <c r="G13" s="37">
        <f>Assumptions!G7*0.252</f>
        <v>1099.2239999999999</v>
      </c>
      <c r="H13" s="37">
        <f>Assumptions!H7*0.255</f>
        <v>1249.5</v>
      </c>
      <c r="I13" s="37">
        <f>Assumptions!I7*0.26</f>
        <v>1430</v>
      </c>
      <c r="J13" s="37">
        <f>Assumptions!J7*0.263</f>
        <v>1620.0800000000002</v>
      </c>
    </row>
    <row r="14" spans="1:10" ht="15" customHeight="1" x14ac:dyDescent="0.3">
      <c r="B14" s="13" t="s">
        <v>295</v>
      </c>
      <c r="C14" s="37">
        <f>Assumptions!C7*0.092</f>
        <v>250.24</v>
      </c>
      <c r="D14" s="37">
        <f>Assumptions!D7*0.091</f>
        <v>310.85599999999999</v>
      </c>
      <c r="E14" s="37">
        <f>Assumptions!E7*0.083</f>
        <v>299.54700000000003</v>
      </c>
      <c r="F14" s="37">
        <f>Assumptions!F7*0.078</f>
        <v>318.70800000000003</v>
      </c>
      <c r="G14" s="37">
        <f>Assumptions!G7*0.076</f>
        <v>331.512</v>
      </c>
      <c r="H14" s="37">
        <f>Assumptions!H7*0.076</f>
        <v>372.4</v>
      </c>
      <c r="I14" s="37">
        <f>Assumptions!I7*0.075</f>
        <v>412.5</v>
      </c>
      <c r="J14" s="37">
        <f>Assumptions!J7*0.074</f>
        <v>455.84</v>
      </c>
    </row>
    <row r="15" spans="1:10" ht="15" customHeight="1" x14ac:dyDescent="0.3">
      <c r="B15" s="13" t="s">
        <v>296</v>
      </c>
      <c r="C15" s="37">
        <f>Assumptions!C7*0.074</f>
        <v>201.28</v>
      </c>
      <c r="D15" s="37">
        <f>Assumptions!D7*0.079</f>
        <v>269.86399999999998</v>
      </c>
      <c r="E15" s="37">
        <f>Assumptions!E7*0.089</f>
        <v>321.20099999999996</v>
      </c>
      <c r="F15" s="37">
        <f>Assumptions!F7*0.093</f>
        <v>379.99799999999999</v>
      </c>
      <c r="G15" s="37">
        <f>Assumptions!G7*0.096</f>
        <v>418.75200000000001</v>
      </c>
      <c r="H15" s="37">
        <f>Assumptions!H7*0.1</f>
        <v>490</v>
      </c>
      <c r="I15" s="37">
        <f>Assumptions!I7*0.105</f>
        <v>577.5</v>
      </c>
      <c r="J15" s="37">
        <f>Assumptions!J7*0.11</f>
        <v>677.6</v>
      </c>
    </row>
    <row r="16" spans="1:10" ht="15" customHeight="1" x14ac:dyDescent="0.3">
      <c r="B16" s="13" t="s">
        <v>297</v>
      </c>
      <c r="C16" s="37">
        <f>Assumptions!C7*0.099</f>
        <v>269.28000000000003</v>
      </c>
      <c r="D16" s="37">
        <f>Assumptions!D7*0.113</f>
        <v>386.00800000000004</v>
      </c>
      <c r="E16" s="37">
        <f>Assumptions!E7*0.119</f>
        <v>429.471</v>
      </c>
      <c r="F16" s="37">
        <f>Assumptions!F7*0.141</f>
        <v>576.12599999999998</v>
      </c>
      <c r="G16" s="37">
        <f>Assumptions!G7*0.14</f>
        <v>610.68000000000006</v>
      </c>
      <c r="H16" s="37">
        <f>Assumptions!H7*0.139</f>
        <v>681.1</v>
      </c>
      <c r="I16" s="37">
        <f>Assumptions!I7*0.14</f>
        <v>770.00000000000011</v>
      </c>
      <c r="J16" s="37">
        <f>Assumptions!J7*0.143</f>
        <v>880.87999999999988</v>
      </c>
    </row>
    <row r="18" spans="2:10" ht="15" customHeight="1" x14ac:dyDescent="0.3">
      <c r="B18" s="6" t="s">
        <v>298</v>
      </c>
      <c r="C18" s="6"/>
      <c r="D18" s="6"/>
      <c r="E18" s="6"/>
      <c r="F18" s="6"/>
      <c r="G18" s="6"/>
      <c r="H18" s="6"/>
      <c r="I18" s="6"/>
      <c r="J18" s="6"/>
    </row>
    <row r="19" spans="2:10" ht="15" customHeight="1" x14ac:dyDescent="0.3">
      <c r="B19" s="31" t="s">
        <v>288</v>
      </c>
      <c r="C19" s="32">
        <f>Assumptions!C8</f>
        <v>619</v>
      </c>
      <c r="D19" s="32">
        <f>Assumptions!D8</f>
        <v>688</v>
      </c>
      <c r="E19" s="32">
        <f>Assumptions!E8</f>
        <v>703</v>
      </c>
      <c r="F19" s="32">
        <f>Assumptions!F8</f>
        <v>856</v>
      </c>
      <c r="G19" s="32">
        <f>Assumptions!G8</f>
        <v>880</v>
      </c>
      <c r="H19" s="32">
        <f>Assumptions!H8</f>
        <v>990</v>
      </c>
      <c r="I19" s="32">
        <f>Assumptions!I8</f>
        <v>1109</v>
      </c>
      <c r="J19" s="32">
        <f>Assumptions!J8</f>
        <v>1242</v>
      </c>
    </row>
    <row r="20" spans="2:10" ht="15" customHeight="1" x14ac:dyDescent="0.3">
      <c r="B20" s="13" t="s">
        <v>289</v>
      </c>
      <c r="C20" s="36" t="s">
        <v>124</v>
      </c>
      <c r="D20" s="36">
        <f>(Assumptions!D8-Assumptions!C8)/Assumptions!C8</f>
        <v>0.11147011308562198</v>
      </c>
      <c r="E20" s="36">
        <f>(Assumptions!E8-Assumptions!D8)/Assumptions!D8</f>
        <v>2.1802325581395349E-2</v>
      </c>
      <c r="F20" s="36">
        <f>(Assumptions!F8-Assumptions!E8)/Assumptions!E8</f>
        <v>0.21763869132290184</v>
      </c>
      <c r="G20" s="36">
        <f>(Assumptions!G8-Assumptions!F8)/Assumptions!F8</f>
        <v>2.8037383177570093E-2</v>
      </c>
      <c r="H20" s="36">
        <f>(Assumptions!H8-Assumptions!G8)/Assumptions!G8</f>
        <v>0.125</v>
      </c>
      <c r="I20" s="36">
        <f>(Assumptions!I8-Assumptions!H8)/Assumptions!H8</f>
        <v>0.1202020202020202</v>
      </c>
      <c r="J20" s="36">
        <f>(Assumptions!J8-Assumptions!I8)/Assumptions!I8</f>
        <v>0.11992786293958521</v>
      </c>
    </row>
    <row r="21" spans="2:10" ht="15" customHeight="1" x14ac:dyDescent="0.3">
      <c r="B21" s="13" t="s">
        <v>290</v>
      </c>
      <c r="C21" s="36">
        <f>Assumptions!C8/'P&amp;L'!C6</f>
        <v>0.18538484576220426</v>
      </c>
      <c r="D21" s="36">
        <f>Assumptions!D8/'P&amp;L'!D6</f>
        <v>0.16764132553606237</v>
      </c>
      <c r="E21" s="36">
        <f>Assumptions!E8/'P&amp;L'!E6</f>
        <v>0.16303339517625232</v>
      </c>
      <c r="F21" s="36">
        <f>Assumptions!F8/'P&amp;L'!F6</f>
        <v>0.17320922703358965</v>
      </c>
      <c r="G21" s="36">
        <f>Assumptions!G8/'P&amp;L'!G6</f>
        <v>0.16167554657358074</v>
      </c>
      <c r="H21" s="36">
        <f>Assumptions!H8/'P&amp;L'!H6</f>
        <v>0.16237493849434148</v>
      </c>
      <c r="I21" s="36">
        <f>Assumptions!I8/'P&amp;L'!I6</f>
        <v>0.16237188872620792</v>
      </c>
      <c r="J21" s="36">
        <f>Assumptions!J8/'P&amp;L'!J6</f>
        <v>0.16235294117647059</v>
      </c>
    </row>
    <row r="22" spans="2:10" ht="15" customHeight="1" x14ac:dyDescent="0.3">
      <c r="B22" s="78" t="s">
        <v>291</v>
      </c>
      <c r="C22" s="79">
        <f>'P&amp;L'!C19*0.2</f>
        <v>24.146000000000004</v>
      </c>
      <c r="D22" s="79">
        <f>'P&amp;L'!D19*0.2</f>
        <v>61.563199999999966</v>
      </c>
      <c r="E22" s="79">
        <f>'P&amp;L'!E19*0.2</f>
        <v>85.12480000000005</v>
      </c>
      <c r="F22" s="79">
        <f>'P&amp;L'!F19*0.2</f>
        <v>116.52959999999985</v>
      </c>
      <c r="G22" s="79">
        <f>'P&amp;L'!G19*0.2</f>
        <v>127.80400000000009</v>
      </c>
      <c r="H22" s="79">
        <f>'P&amp;L'!H19*0.2</f>
        <v>155.91000000000005</v>
      </c>
      <c r="I22" s="79">
        <f>'P&amp;L'!I19*0.2</f>
        <v>185.82799999999989</v>
      </c>
      <c r="J22" s="79">
        <f>'P&amp;L'!J19*0.2</f>
        <v>222.51000000000005</v>
      </c>
    </row>
    <row r="23" spans="2:10" ht="15" customHeight="1" x14ac:dyDescent="0.3">
      <c r="B23" s="78" t="s">
        <v>135</v>
      </c>
      <c r="C23" s="80">
        <f>Segments!C22/Assumptions!C8</f>
        <v>3.9008077544426499E-2</v>
      </c>
      <c r="D23" s="80">
        <f>Segments!D22/Assumptions!D8</f>
        <v>8.9481395348837159E-2</v>
      </c>
      <c r="E23" s="80">
        <f>Segments!E22/Assumptions!E8</f>
        <v>0.12108790896159324</v>
      </c>
      <c r="F23" s="80">
        <f>Segments!F22/Assumptions!F8</f>
        <v>0.13613271028037366</v>
      </c>
      <c r="G23" s="80">
        <f>Segments!G22/Assumptions!G8</f>
        <v>0.14523181818181827</v>
      </c>
      <c r="H23" s="80">
        <f>Segments!H22/Assumptions!H8</f>
        <v>0.15748484848484853</v>
      </c>
      <c r="I23" s="80">
        <f>Segments!I22/Assumptions!I8</f>
        <v>0.16756357078449044</v>
      </c>
      <c r="J23" s="80">
        <f>Segments!J22/Assumptions!J8</f>
        <v>0.17915458937198073</v>
      </c>
    </row>
    <row r="25" spans="2:10" ht="15" customHeight="1" x14ac:dyDescent="0.3">
      <c r="B25" s="6" t="s">
        <v>299</v>
      </c>
      <c r="C25" s="6"/>
      <c r="D25" s="6"/>
      <c r="E25" s="6"/>
      <c r="F25" s="6"/>
      <c r="G25" s="6"/>
      <c r="H25" s="6"/>
      <c r="I25" s="6"/>
      <c r="J25" s="6"/>
    </row>
    <row r="26" spans="2:10" ht="15" customHeight="1" x14ac:dyDescent="0.3">
      <c r="B26" s="10" t="s">
        <v>300</v>
      </c>
      <c r="C26" s="34">
        <f>'P&amp;L'!C6</f>
        <v>3339</v>
      </c>
      <c r="D26" s="34">
        <f>'P&amp;L'!D6</f>
        <v>4104</v>
      </c>
      <c r="E26" s="34">
        <f>'P&amp;L'!E6</f>
        <v>4312</v>
      </c>
      <c r="F26" s="34">
        <f>'P&amp;L'!F6</f>
        <v>4942</v>
      </c>
      <c r="G26" s="34">
        <f>'P&amp;L'!G6</f>
        <v>5443</v>
      </c>
      <c r="H26" s="34">
        <f>'P&amp;L'!H6</f>
        <v>6097</v>
      </c>
      <c r="I26" s="34">
        <f>'P&amp;L'!I6</f>
        <v>6830</v>
      </c>
      <c r="J26" s="34">
        <f>'P&amp;L'!J6</f>
        <v>7650</v>
      </c>
    </row>
    <row r="27" spans="2:10" ht="15" customHeight="1" x14ac:dyDescent="0.3">
      <c r="B27" s="10" t="s">
        <v>301</v>
      </c>
      <c r="C27" s="34">
        <f>'P&amp;L'!C19</f>
        <v>120.73000000000002</v>
      </c>
      <c r="D27" s="34">
        <f>'P&amp;L'!D19</f>
        <v>307.8159999999998</v>
      </c>
      <c r="E27" s="34">
        <f>'P&amp;L'!E19</f>
        <v>425.62400000000025</v>
      </c>
      <c r="F27" s="34">
        <f>'P&amp;L'!F19</f>
        <v>582.64799999999923</v>
      </c>
      <c r="G27" s="34">
        <f>'P&amp;L'!G19</f>
        <v>639.02000000000044</v>
      </c>
      <c r="H27" s="34">
        <f>'P&amp;L'!H19</f>
        <v>779.55000000000018</v>
      </c>
      <c r="I27" s="34">
        <f>'P&amp;L'!I19</f>
        <v>929.13999999999942</v>
      </c>
      <c r="J27" s="34">
        <f>'P&amp;L'!J19</f>
        <v>1112.5500000000002</v>
      </c>
    </row>
    <row r="28" spans="2:10" ht="15" customHeight="1" x14ac:dyDescent="0.3">
      <c r="B28" s="10" t="s">
        <v>302</v>
      </c>
      <c r="C28" s="81">
        <f>'P&amp;L'!C19/'P&amp;L'!C6</f>
        <v>3.6157532195268051E-2</v>
      </c>
      <c r="D28" s="81">
        <f>'P&amp;L'!D19/'P&amp;L'!D6</f>
        <v>7.5003898635477531E-2</v>
      </c>
      <c r="E28" s="81">
        <f>'P&amp;L'!E19/'P&amp;L'!E6</f>
        <v>9.8706864564007485E-2</v>
      </c>
      <c r="F28" s="81">
        <f>'P&amp;L'!F19/'P&amp;L'!F6</f>
        <v>0.11789720760825562</v>
      </c>
      <c r="G28" s="81">
        <f>'P&amp;L'!G19/'P&amp;L'!G6</f>
        <v>0.11740216792210187</v>
      </c>
      <c r="H28" s="81">
        <f>'P&amp;L'!H19/'P&amp;L'!H6</f>
        <v>0.12785796293258983</v>
      </c>
      <c r="I28" s="81">
        <f>'P&amp;L'!I19/'P&amp;L'!I6</f>
        <v>0.13603806734992671</v>
      </c>
      <c r="J28" s="81">
        <f>'P&amp;L'!J19/'P&amp;L'!J6</f>
        <v>0.14543137254901964</v>
      </c>
    </row>
  </sheetData>
  <mergeCells count="6">
    <mergeCell ref="B25:J25"/>
    <mergeCell ref="A1:J1"/>
    <mergeCell ref="A2:J2"/>
    <mergeCell ref="B5:J5"/>
    <mergeCell ref="B11:J11"/>
    <mergeCell ref="B18:J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Assumptions</vt:lpstr>
      <vt:lpstr>P&amp;L</vt:lpstr>
      <vt:lpstr>BalanceSheet</vt:lpstr>
      <vt:lpstr>CashFlow</vt:lpstr>
      <vt:lpstr>DCF</vt:lpstr>
      <vt:lpstr>Comps</vt:lpstr>
      <vt:lpstr>Ratios</vt:lpstr>
      <vt:lpstr>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pshar</cp:lastModifiedBy>
  <cp:revision>0</cp:revision>
  <dcterms:created xsi:type="dcterms:W3CDTF">2026-06-19T08:34:34Z</dcterms:created>
  <dcterms:modified xsi:type="dcterms:W3CDTF">2026-06-19T09:56:31Z</dcterms:modified>
  <dc:language>en-US</dc:language>
</cp:coreProperties>
</file>